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4c6b6eb009ac8/Dokumente/Meine_Dokumente/Bücher/Fertighaus/"/>
    </mc:Choice>
  </mc:AlternateContent>
  <xr:revisionPtr revIDLastSave="781" documentId="8_{DE1B7BCC-1076-8E4F-9D25-CBC94C49D208}" xr6:coauthVersionLast="47" xr6:coauthVersionMax="47" xr10:uidLastSave="{39E6EE06-0458-E14E-9D36-F908CF80EE09}"/>
  <bookViews>
    <workbookView xWindow="0" yWindow="1280" windowWidth="31600" windowHeight="19060" xr2:uid="{E0AC95BE-49BE-6743-AB69-2C7975BD0EC9}"/>
  </bookViews>
  <sheets>
    <sheet name="Kosten_Beispiel" sheetId="1" r:id="rId1"/>
    <sheet name="Kosten_Meine_Daten" sheetId="4" r:id="rId2"/>
    <sheet name="Finanzierung" sheetId="2" r:id="rId3"/>
    <sheet name="Zinseszinz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" i="4" l="1"/>
  <c r="E108" i="4"/>
  <c r="E107" i="4"/>
  <c r="E106" i="4"/>
  <c r="E105" i="4"/>
  <c r="E104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8" i="4"/>
  <c r="E67" i="4"/>
  <c r="E65" i="4"/>
  <c r="E64" i="4"/>
  <c r="E63" i="4"/>
  <c r="E62" i="4"/>
  <c r="E61" i="4"/>
  <c r="E60" i="4"/>
  <c r="E59" i="4"/>
  <c r="E58" i="4"/>
  <c r="E57" i="4"/>
  <c r="E56" i="4"/>
  <c r="E55" i="4"/>
  <c r="E53" i="4"/>
  <c r="E52" i="4"/>
  <c r="E51" i="4"/>
  <c r="E50" i="4"/>
  <c r="E49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4" i="4"/>
  <c r="E23" i="4"/>
  <c r="E22" i="4"/>
  <c r="E21" i="4"/>
  <c r="E20" i="4"/>
  <c r="E13" i="4"/>
  <c r="E12" i="4"/>
  <c r="E11" i="4"/>
  <c r="E10" i="4"/>
  <c r="C9" i="4"/>
  <c r="E9" i="4" s="1"/>
  <c r="E8" i="4"/>
  <c r="F112" i="4" l="1"/>
  <c r="C125" i="4" s="1"/>
  <c r="F99" i="4"/>
  <c r="C124" i="4" s="1"/>
  <c r="F70" i="4"/>
  <c r="C123" i="4" s="1"/>
  <c r="F25" i="4"/>
  <c r="C122" i="4" s="1"/>
  <c r="F15" i="4"/>
  <c r="C121" i="4" s="1"/>
  <c r="F126" i="4" l="1"/>
  <c r="C131" i="4" s="1"/>
  <c r="F133" i="4" s="1"/>
  <c r="S5" i="3" l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" i="3"/>
  <c r="E109" i="1"/>
  <c r="E108" i="1"/>
  <c r="E107" i="1"/>
  <c r="E106" i="1"/>
  <c r="E105" i="1"/>
  <c r="E104" i="1"/>
  <c r="E92" i="1"/>
  <c r="E80" i="1"/>
  <c r="E97" i="1"/>
  <c r="E96" i="1"/>
  <c r="E95" i="1"/>
  <c r="E94" i="1"/>
  <c r="E93" i="1"/>
  <c r="E91" i="1"/>
  <c r="E90" i="1"/>
  <c r="E89" i="1"/>
  <c r="E88" i="1"/>
  <c r="E87" i="1"/>
  <c r="E86" i="1"/>
  <c r="E85" i="1"/>
  <c r="E84" i="1"/>
  <c r="E83" i="1"/>
  <c r="E82" i="1"/>
  <c r="E81" i="1"/>
  <c r="E79" i="1"/>
  <c r="E78" i="1"/>
  <c r="E77" i="1"/>
  <c r="E76" i="1"/>
  <c r="E75" i="1"/>
  <c r="E74" i="1"/>
  <c r="E68" i="1"/>
  <c r="E67" i="1"/>
  <c r="E65" i="1"/>
  <c r="E64" i="1"/>
  <c r="E63" i="1"/>
  <c r="E62" i="1"/>
  <c r="E61" i="1"/>
  <c r="E60" i="1"/>
  <c r="E59" i="1"/>
  <c r="E58" i="1"/>
  <c r="E57" i="1"/>
  <c r="E56" i="1"/>
  <c r="E55" i="1"/>
  <c r="E53" i="1"/>
  <c r="E52" i="1"/>
  <c r="E51" i="1"/>
  <c r="E50" i="1"/>
  <c r="E49" i="1"/>
  <c r="E47" i="1"/>
  <c r="E46" i="1"/>
  <c r="E45" i="1"/>
  <c r="E44" i="1"/>
  <c r="E43" i="1"/>
  <c r="E42" i="1"/>
  <c r="E41" i="1"/>
  <c r="E40" i="1"/>
  <c r="E39" i="1"/>
  <c r="E38" i="1"/>
  <c r="E37" i="1"/>
  <c r="E36" i="1"/>
  <c r="E33" i="1"/>
  <c r="E35" i="1"/>
  <c r="E34" i="1"/>
  <c r="E32" i="1"/>
  <c r="E31" i="1"/>
  <c r="E30" i="1"/>
  <c r="F70" i="1" s="1"/>
  <c r="C123" i="1" s="1"/>
  <c r="E21" i="1"/>
  <c r="E22" i="1"/>
  <c r="E23" i="1"/>
  <c r="E24" i="1"/>
  <c r="E20" i="1"/>
  <c r="E13" i="1"/>
  <c r="E10" i="1"/>
  <c r="E11" i="1"/>
  <c r="E12" i="1"/>
  <c r="E8" i="1"/>
  <c r="C9" i="1"/>
  <c r="E9" i="1" s="1"/>
  <c r="F112" i="1" l="1"/>
  <c r="C125" i="1" s="1"/>
  <c r="F99" i="1"/>
  <c r="C124" i="1" s="1"/>
  <c r="F25" i="1"/>
  <c r="F15" i="1"/>
  <c r="C121" i="1" s="1"/>
  <c r="C122" i="1" l="1"/>
  <c r="F126" i="1"/>
  <c r="C131" i="1" s="1"/>
  <c r="F133" i="1" s="1"/>
  <c r="C3" i="3" l="1"/>
  <c r="L3" i="3"/>
  <c r="M3" i="3" s="1"/>
  <c r="B5" i="2"/>
  <c r="D3" i="3" l="1"/>
  <c r="E3" i="3"/>
  <c r="C4" i="3" s="1"/>
  <c r="B380" i="3"/>
  <c r="B414" i="3"/>
  <c r="B458" i="3"/>
  <c r="B41" i="3"/>
  <c r="B120" i="3"/>
  <c r="B154" i="3"/>
  <c r="B183" i="3"/>
  <c r="B219" i="3"/>
  <c r="B261" i="3"/>
  <c r="B290" i="3"/>
  <c r="B347" i="3"/>
  <c r="B383" i="3"/>
  <c r="B423" i="3"/>
  <c r="B76" i="3"/>
  <c r="B107" i="3"/>
  <c r="B160" i="3"/>
  <c r="B192" i="3"/>
  <c r="B230" i="3"/>
  <c r="B315" i="3"/>
  <c r="B393" i="3"/>
  <c r="B6" i="3"/>
  <c r="B60" i="3"/>
  <c r="B98" i="3"/>
  <c r="B137" i="3"/>
  <c r="B180" i="3"/>
  <c r="B211" i="3"/>
  <c r="B282" i="3"/>
  <c r="B335" i="3"/>
  <c r="B369" i="3"/>
  <c r="B465" i="3"/>
  <c r="B27" i="3"/>
  <c r="B62" i="3"/>
  <c r="B102" i="3"/>
  <c r="B26" i="3"/>
  <c r="B338" i="3"/>
  <c r="B360" i="3"/>
  <c r="B407" i="3"/>
  <c r="B419" i="3"/>
  <c r="B462" i="3"/>
  <c r="B478" i="3"/>
  <c r="B30" i="3"/>
  <c r="B56" i="3"/>
  <c r="B77" i="3"/>
  <c r="B112" i="3"/>
  <c r="B151" i="3"/>
  <c r="B172" i="3"/>
  <c r="B195" i="3"/>
  <c r="B222" i="3"/>
  <c r="B237" i="3"/>
  <c r="B255" i="3"/>
  <c r="B264" i="3"/>
  <c r="B281" i="3"/>
  <c r="B305" i="3"/>
  <c r="B351" i="3"/>
  <c r="B371" i="3"/>
  <c r="B398" i="3"/>
  <c r="B436" i="3"/>
  <c r="B446" i="3"/>
  <c r="B453" i="3"/>
  <c r="B479" i="3"/>
  <c r="B13" i="3"/>
  <c r="B32" i="3"/>
  <c r="B40" i="3"/>
  <c r="B4" i="3"/>
  <c r="B85" i="3"/>
  <c r="B116" i="3"/>
  <c r="B176" i="3"/>
  <c r="B196" i="3"/>
  <c r="B260" i="3"/>
  <c r="B283" i="3"/>
  <c r="B341" i="3"/>
  <c r="B445" i="3"/>
  <c r="B48" i="3"/>
  <c r="B114" i="3"/>
  <c r="B173" i="3"/>
  <c r="B332" i="3"/>
  <c r="B348" i="3"/>
  <c r="B395" i="3"/>
  <c r="B438" i="3"/>
  <c r="B467" i="3"/>
  <c r="B14" i="3"/>
  <c r="B36" i="3"/>
  <c r="B70" i="3"/>
  <c r="B92" i="3"/>
  <c r="B140" i="3"/>
  <c r="B167" i="3"/>
  <c r="B190" i="3"/>
  <c r="B227" i="3"/>
  <c r="B241" i="3"/>
  <c r="B258" i="3"/>
  <c r="B273" i="3"/>
  <c r="B297" i="3"/>
  <c r="B319" i="3"/>
  <c r="B359" i="3"/>
  <c r="B394" i="3"/>
  <c r="B409" i="3"/>
  <c r="B443" i="3"/>
  <c r="B475" i="3"/>
  <c r="B483" i="3"/>
  <c r="B93" i="3"/>
  <c r="B144" i="3"/>
  <c r="B187" i="3"/>
  <c r="B212" i="3"/>
  <c r="B256" i="3"/>
  <c r="B274" i="3"/>
  <c r="B334" i="3"/>
  <c r="B361" i="3"/>
  <c r="B406" i="3"/>
  <c r="B432" i="3"/>
  <c r="B464" i="3"/>
  <c r="B52" i="3"/>
  <c r="B82" i="3"/>
  <c r="B159" i="3"/>
  <c r="B202" i="3"/>
  <c r="B268" i="3"/>
  <c r="B289" i="3"/>
  <c r="B322" i="3"/>
  <c r="B362" i="3"/>
  <c r="B442" i="3"/>
  <c r="B9" i="3"/>
  <c r="B51" i="3"/>
  <c r="B84" i="3"/>
  <c r="B110" i="3"/>
  <c r="B141" i="3"/>
  <c r="B168" i="3"/>
  <c r="B204" i="3"/>
  <c r="B221" i="3"/>
  <c r="B229" i="3"/>
  <c r="B265" i="3"/>
  <c r="B299" i="3"/>
  <c r="B327" i="3"/>
  <c r="B352" i="3"/>
  <c r="B384" i="3"/>
  <c r="B401" i="3"/>
  <c r="B421" i="3"/>
  <c r="B448" i="3"/>
  <c r="B474" i="3"/>
  <c r="B31" i="3"/>
  <c r="B43" i="3"/>
  <c r="B59" i="3"/>
  <c r="B74" i="3"/>
  <c r="B101" i="3"/>
  <c r="B118" i="3"/>
  <c r="B142" i="3"/>
  <c r="B165" i="3"/>
  <c r="B185" i="3"/>
  <c r="B198" i="3"/>
  <c r="B214" i="3"/>
  <c r="B238" i="3"/>
  <c r="B263" i="3"/>
  <c r="B287" i="3"/>
  <c r="B301" i="3"/>
  <c r="B317" i="3"/>
  <c r="B329" i="3"/>
  <c r="B353" i="3"/>
  <c r="B376" i="3"/>
  <c r="B400" i="3"/>
  <c r="B425" i="3"/>
  <c r="B449" i="3"/>
  <c r="B457" i="3"/>
  <c r="B10" i="3"/>
  <c r="B19" i="3"/>
  <c r="B23" i="3"/>
  <c r="B28" i="3"/>
  <c r="B33" i="3"/>
  <c r="B37" i="3"/>
  <c r="B54" i="3"/>
  <c r="B482" i="3"/>
  <c r="B69" i="3"/>
  <c r="B79" i="3"/>
  <c r="B81" i="3"/>
  <c r="B106" i="3"/>
  <c r="B128" i="3"/>
  <c r="B135" i="3"/>
  <c r="B145" i="3"/>
  <c r="B157" i="3"/>
  <c r="B161" i="3"/>
  <c r="B175" i="3"/>
  <c r="B209" i="3"/>
  <c r="B243" i="3"/>
  <c r="B252" i="3"/>
  <c r="B266" i="3"/>
  <c r="B288" i="3"/>
  <c r="B291" i="3"/>
  <c r="B300" i="3"/>
  <c r="B306" i="3"/>
  <c r="B324" i="3"/>
  <c r="B330" i="3"/>
  <c r="B344" i="3"/>
  <c r="B355" i="3"/>
  <c r="B358" i="3"/>
  <c r="B373" i="3"/>
  <c r="B385" i="3"/>
  <c r="B387" i="3"/>
  <c r="B403" i="3"/>
  <c r="B413" i="3"/>
  <c r="B434" i="3"/>
  <c r="B447" i="3"/>
  <c r="B454" i="3"/>
  <c r="B456" i="3"/>
  <c r="B463" i="3"/>
  <c r="B476" i="3"/>
  <c r="B8" i="3"/>
  <c r="B18" i="3"/>
  <c r="B25" i="3"/>
  <c r="B34" i="3"/>
  <c r="B39" i="3"/>
  <c r="H1" i="3"/>
  <c r="B66" i="3"/>
  <c r="B71" i="3"/>
  <c r="B80" i="3"/>
  <c r="B111" i="3"/>
  <c r="B115" i="3"/>
  <c r="B126" i="3"/>
  <c r="B129" i="3"/>
  <c r="B133" i="3"/>
  <c r="B138" i="3"/>
  <c r="B143" i="3"/>
  <c r="B146" i="3"/>
  <c r="B149" i="3"/>
  <c r="B153" i="3"/>
  <c r="B162" i="3"/>
  <c r="B171" i="3"/>
  <c r="B174" i="3"/>
  <c r="B177" i="3"/>
  <c r="B179" i="3"/>
  <c r="B181" i="3"/>
  <c r="B188" i="3"/>
  <c r="B191" i="3"/>
  <c r="B215" i="3"/>
  <c r="B218" i="3"/>
  <c r="B233" i="3"/>
  <c r="B244" i="3"/>
  <c r="B254" i="3"/>
  <c r="B271" i="3"/>
  <c r="B277" i="3"/>
  <c r="B280" i="3"/>
  <c r="B298" i="3"/>
  <c r="B304" i="3"/>
  <c r="B309" i="3"/>
  <c r="B318" i="3"/>
  <c r="B333" i="3"/>
  <c r="B340" i="3"/>
  <c r="B349" i="3"/>
  <c r="B357" i="3"/>
  <c r="B367" i="3"/>
  <c r="B372" i="3"/>
  <c r="B392" i="3"/>
  <c r="B402" i="3"/>
  <c r="B404" i="3"/>
  <c r="B408" i="3"/>
  <c r="B412" i="3"/>
  <c r="B424" i="3"/>
  <c r="B429" i="3"/>
  <c r="B440" i="3"/>
  <c r="B461" i="3"/>
  <c r="B473" i="3"/>
  <c r="B480" i="3"/>
  <c r="B17" i="3"/>
  <c r="B24" i="3"/>
  <c r="B35" i="3"/>
  <c r="B42" i="3"/>
  <c r="B45" i="3"/>
  <c r="B49" i="3"/>
  <c r="B57" i="3"/>
  <c r="B64" i="3"/>
  <c r="B88" i="3"/>
  <c r="B95" i="3"/>
  <c r="B97" i="3"/>
  <c r="B104" i="3"/>
  <c r="B119" i="3"/>
  <c r="B122" i="3"/>
  <c r="B127" i="3"/>
  <c r="B131" i="3"/>
  <c r="B186" i="3"/>
  <c r="B200" i="3"/>
  <c r="B208" i="3"/>
  <c r="B231" i="3"/>
  <c r="B235" i="3"/>
  <c r="B240" i="3"/>
  <c r="B247" i="3"/>
  <c r="B296" i="3"/>
  <c r="B303" i="3"/>
  <c r="B310" i="3"/>
  <c r="B316" i="3"/>
  <c r="B326" i="3"/>
  <c r="B331" i="3"/>
  <c r="B339" i="3"/>
  <c r="B345" i="3"/>
  <c r="B364" i="3"/>
  <c r="B375" i="3"/>
  <c r="B379" i="3"/>
  <c r="B388" i="3"/>
  <c r="B416" i="3"/>
  <c r="B427" i="3"/>
  <c r="B431" i="3"/>
  <c r="B441" i="3"/>
  <c r="B452" i="3"/>
  <c r="B460" i="3"/>
  <c r="B471" i="3"/>
  <c r="B12" i="3"/>
  <c r="B15" i="3"/>
  <c r="B22" i="3"/>
  <c r="B44" i="3"/>
  <c r="B58" i="3"/>
  <c r="B65" i="3"/>
  <c r="B68" i="3"/>
  <c r="B78" i="3"/>
  <c r="B83" i="3"/>
  <c r="B86" i="3"/>
  <c r="B100" i="3"/>
  <c r="B103" i="3"/>
  <c r="B109" i="3"/>
  <c r="B125" i="3"/>
  <c r="B130" i="3"/>
  <c r="B152" i="3"/>
  <c r="B155" i="3"/>
  <c r="B158" i="3"/>
  <c r="B166" i="3"/>
  <c r="B170" i="3"/>
  <c r="B178" i="3"/>
  <c r="B193" i="3"/>
  <c r="B197" i="3"/>
  <c r="B207" i="3"/>
  <c r="B213" i="3"/>
  <c r="B216" i="3"/>
  <c r="B220" i="3"/>
  <c r="B225" i="3"/>
  <c r="B228" i="3"/>
  <c r="B234" i="3"/>
  <c r="B248" i="3"/>
  <c r="B272" i="3"/>
  <c r="B275" i="3"/>
  <c r="B278" i="3"/>
  <c r="B285" i="3"/>
  <c r="B292" i="3"/>
  <c r="B302" i="3"/>
  <c r="B308" i="3"/>
  <c r="B320" i="3"/>
  <c r="B328" i="3"/>
  <c r="B346" i="3"/>
  <c r="B350" i="3"/>
  <c r="B356" i="3"/>
  <c r="B363" i="3"/>
  <c r="B366" i="3"/>
  <c r="B374" i="3"/>
  <c r="B377" i="3"/>
  <c r="B382" i="3"/>
  <c r="B386" i="3"/>
  <c r="B391" i="3"/>
  <c r="B396" i="3"/>
  <c r="B399" i="3"/>
  <c r="B405" i="3"/>
  <c r="B411" i="3"/>
  <c r="B417" i="3"/>
  <c r="B422" i="3"/>
  <c r="B428" i="3"/>
  <c r="B433" i="3"/>
  <c r="B444" i="3"/>
  <c r="B455" i="3"/>
  <c r="B459" i="3"/>
  <c r="B470" i="3"/>
  <c r="B477" i="3"/>
  <c r="B11" i="3"/>
  <c r="B21" i="3"/>
  <c r="B29" i="3"/>
  <c r="B46" i="3"/>
  <c r="B50" i="3"/>
  <c r="B53" i="3"/>
  <c r="B63" i="3"/>
  <c r="B67" i="3"/>
  <c r="B75" i="3"/>
  <c r="B89" i="3"/>
  <c r="B343" i="3"/>
  <c r="B365" i="3"/>
  <c r="B410" i="3"/>
  <c r="B435" i="3"/>
  <c r="B472" i="3"/>
  <c r="B16" i="3"/>
  <c r="B481" i="3"/>
  <c r="B90" i="3"/>
  <c r="B148" i="3"/>
  <c r="B201" i="3"/>
  <c r="B232" i="3"/>
  <c r="B245" i="3"/>
  <c r="B267" i="3"/>
  <c r="B284" i="3"/>
  <c r="B312" i="3"/>
  <c r="B354" i="3"/>
  <c r="B390" i="3"/>
  <c r="B418" i="3"/>
  <c r="B439" i="3"/>
  <c r="B450" i="3"/>
  <c r="B468" i="3"/>
  <c r="B7" i="3"/>
  <c r="B236" i="3"/>
  <c r="B270" i="3"/>
  <c r="B323" i="3"/>
  <c r="B368" i="3"/>
  <c r="B420" i="3"/>
  <c r="B451" i="3"/>
  <c r="B72" i="3"/>
  <c r="B132" i="3"/>
  <c r="B150" i="3"/>
  <c r="B206" i="3"/>
  <c r="B259" i="3"/>
  <c r="B294" i="3"/>
  <c r="B311" i="3"/>
  <c r="B342" i="3"/>
  <c r="B430" i="3"/>
  <c r="B5" i="3"/>
  <c r="B47" i="3"/>
  <c r="B73" i="3"/>
  <c r="B91" i="3"/>
  <c r="B123" i="3"/>
  <c r="B164" i="3"/>
  <c r="B184" i="3"/>
  <c r="B210" i="3"/>
  <c r="B224" i="3"/>
  <c r="B251" i="3"/>
  <c r="B276" i="3"/>
  <c r="B314" i="3"/>
  <c r="B336" i="3"/>
  <c r="B378" i="3"/>
  <c r="B397" i="3"/>
  <c r="B426" i="3"/>
  <c r="B466" i="3"/>
  <c r="B20" i="3"/>
  <c r="B38" i="3"/>
  <c r="B55" i="3"/>
  <c r="B61" i="3"/>
  <c r="B87" i="3"/>
  <c r="B113" i="3"/>
  <c r="B124" i="3"/>
  <c r="B147" i="3"/>
  <c r="B169" i="3"/>
  <c r="B189" i="3"/>
  <c r="B205" i="3"/>
  <c r="B226" i="3"/>
  <c r="B249" i="3"/>
  <c r="B269" i="3"/>
  <c r="B293" i="3"/>
  <c r="B313" i="3"/>
  <c r="B321" i="3"/>
  <c r="B337" i="3"/>
  <c r="B370" i="3"/>
  <c r="B381" i="3"/>
  <c r="B389" i="3"/>
  <c r="B415" i="3"/>
  <c r="B437" i="3"/>
  <c r="B469" i="3"/>
  <c r="B94" i="3"/>
  <c r="B96" i="3"/>
  <c r="B99" i="3"/>
  <c r="B105" i="3"/>
  <c r="B108" i="3"/>
  <c r="B117" i="3"/>
  <c r="B121" i="3"/>
  <c r="B134" i="3"/>
  <c r="B136" i="3"/>
  <c r="B139" i="3"/>
  <c r="B156" i="3"/>
  <c r="B163" i="3"/>
  <c r="B182" i="3"/>
  <c r="B194" i="3"/>
  <c r="B199" i="3"/>
  <c r="B203" i="3"/>
  <c r="B217" i="3"/>
  <c r="B223" i="3"/>
  <c r="B239" i="3"/>
  <c r="B242" i="3"/>
  <c r="B246" i="3"/>
  <c r="B250" i="3"/>
  <c r="B253" i="3"/>
  <c r="B257" i="3"/>
  <c r="B262" i="3"/>
  <c r="B279" i="3"/>
  <c r="B286" i="3"/>
  <c r="B295" i="3"/>
  <c r="B307" i="3"/>
  <c r="B325" i="3"/>
  <c r="T4" i="3" l="1"/>
  <c r="D4" i="3"/>
  <c r="E4" i="3" s="1"/>
  <c r="C5" i="3" s="1"/>
  <c r="H3" i="3"/>
  <c r="O4" i="3" s="1"/>
  <c r="K304" i="3"/>
  <c r="K310" i="3"/>
  <c r="K316" i="3"/>
  <c r="K334" i="3"/>
  <c r="K340" i="3"/>
  <c r="K371" i="3"/>
  <c r="K237" i="3"/>
  <c r="K248" i="3"/>
  <c r="K263" i="3"/>
  <c r="K267" i="3"/>
  <c r="K278" i="3"/>
  <c r="K208" i="3"/>
  <c r="K219" i="3"/>
  <c r="K249" i="3"/>
  <c r="K158" i="3"/>
  <c r="K186" i="3"/>
  <c r="K253" i="3"/>
  <c r="K167" i="3"/>
  <c r="K210" i="3"/>
  <c r="K228" i="3"/>
  <c r="K264" i="3"/>
  <c r="K284" i="3"/>
  <c r="K216" i="3"/>
  <c r="K242" i="3"/>
  <c r="K254" i="3"/>
  <c r="K270" i="3"/>
  <c r="K140" i="3"/>
  <c r="K177" i="3"/>
  <c r="K191" i="3"/>
  <c r="K198" i="3"/>
  <c r="K206" i="3"/>
  <c r="K247" i="3"/>
  <c r="K262" i="3"/>
  <c r="K279" i="3"/>
  <c r="K185" i="3"/>
  <c r="K199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302" i="3"/>
  <c r="K308" i="3"/>
  <c r="K319" i="3"/>
  <c r="K326" i="3"/>
  <c r="K330" i="3"/>
  <c r="K342" i="3"/>
  <c r="K348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00" i="3"/>
  <c r="K311" i="3"/>
  <c r="K317" i="3"/>
  <c r="K320" i="3"/>
  <c r="K329" i="3"/>
  <c r="K337" i="3"/>
  <c r="K347" i="3"/>
  <c r="K374" i="3"/>
  <c r="K383" i="3"/>
  <c r="K416" i="3"/>
  <c r="K305" i="3"/>
  <c r="K309" i="3"/>
  <c r="K315" i="3"/>
  <c r="K322" i="3"/>
  <c r="K333" i="3"/>
  <c r="K336" i="3"/>
  <c r="K345" i="3"/>
  <c r="K379" i="3"/>
  <c r="K382" i="3"/>
  <c r="K4" i="3"/>
  <c r="K389" i="3"/>
  <c r="K397" i="3"/>
  <c r="K404" i="3"/>
  <c r="K407" i="3"/>
  <c r="K410" i="3"/>
  <c r="K414" i="3"/>
  <c r="K421" i="3"/>
  <c r="K424" i="3"/>
  <c r="K428" i="3"/>
  <c r="K432" i="3"/>
  <c r="K435" i="3"/>
  <c r="K439" i="3"/>
  <c r="K442" i="3"/>
  <c r="K447" i="3"/>
  <c r="K450" i="3"/>
  <c r="K455" i="3"/>
  <c r="K461" i="3"/>
  <c r="K469" i="3"/>
  <c r="K472" i="3"/>
  <c r="K476" i="3"/>
  <c r="K482" i="3"/>
  <c r="K138" i="3"/>
  <c r="K147" i="3"/>
  <c r="K154" i="3"/>
  <c r="K165" i="3"/>
  <c r="K172" i="3"/>
  <c r="K182" i="3"/>
  <c r="K209" i="3"/>
  <c r="N3" i="3"/>
  <c r="L4" i="3" s="1"/>
  <c r="M4" i="3" s="1"/>
  <c r="K307" i="3"/>
  <c r="K312" i="3"/>
  <c r="K331" i="3"/>
  <c r="K339" i="3"/>
  <c r="K368" i="3"/>
  <c r="K370" i="3"/>
  <c r="K372" i="3"/>
  <c r="K375" i="3"/>
  <c r="K377" i="3"/>
  <c r="K380" i="3"/>
  <c r="K385" i="3"/>
  <c r="K388" i="3"/>
  <c r="K392" i="3"/>
  <c r="K396" i="3"/>
  <c r="K400" i="3"/>
  <c r="K403" i="3"/>
  <c r="K408" i="3"/>
  <c r="K412" i="3"/>
  <c r="K419" i="3"/>
  <c r="K427" i="3"/>
  <c r="K433" i="3"/>
  <c r="K438" i="3"/>
  <c r="K443" i="3"/>
  <c r="K448" i="3"/>
  <c r="K451" i="3"/>
  <c r="K456" i="3"/>
  <c r="K459" i="3"/>
  <c r="K463" i="3"/>
  <c r="K468" i="3"/>
  <c r="K475" i="3"/>
  <c r="K478" i="3"/>
  <c r="K131" i="3"/>
  <c r="K143" i="3"/>
  <c r="K161" i="3"/>
  <c r="K174" i="3"/>
  <c r="K205" i="3"/>
  <c r="K15" i="3"/>
  <c r="K299" i="3"/>
  <c r="K321" i="3"/>
  <c r="K324" i="3"/>
  <c r="K327" i="3"/>
  <c r="K332" i="3"/>
  <c r="K344" i="3"/>
  <c r="K346" i="3"/>
  <c r="K349" i="3"/>
  <c r="K365" i="3"/>
  <c r="K367" i="3"/>
  <c r="K373" i="3"/>
  <c r="K376" i="3"/>
  <c r="K378" i="3"/>
  <c r="K384" i="3"/>
  <c r="K387" i="3"/>
  <c r="K390" i="3"/>
  <c r="K393" i="3"/>
  <c r="K395" i="3"/>
  <c r="K398" i="3"/>
  <c r="K401" i="3"/>
  <c r="K406" i="3"/>
  <c r="K411" i="3"/>
  <c r="K415" i="3"/>
  <c r="K418" i="3"/>
  <c r="K423" i="3"/>
  <c r="K426" i="3"/>
  <c r="K430" i="3"/>
  <c r="K434" i="3"/>
  <c r="K437" i="3"/>
  <c r="K440" i="3"/>
  <c r="K445" i="3"/>
  <c r="K449" i="3"/>
  <c r="K453" i="3"/>
  <c r="K458" i="3"/>
  <c r="K462" i="3"/>
  <c r="K465" i="3"/>
  <c r="K467" i="3"/>
  <c r="K470" i="3"/>
  <c r="K473" i="3"/>
  <c r="K477" i="3"/>
  <c r="K480" i="3"/>
  <c r="K483" i="3"/>
  <c r="K141" i="3"/>
  <c r="K149" i="3"/>
  <c r="K159" i="3"/>
  <c r="K163" i="3"/>
  <c r="K168" i="3"/>
  <c r="K178" i="3"/>
  <c r="K193" i="3"/>
  <c r="K207" i="3"/>
  <c r="K213" i="3"/>
  <c r="K220" i="3"/>
  <c r="K222" i="3"/>
  <c r="K225" i="3"/>
  <c r="K229" i="3"/>
  <c r="K239" i="3"/>
  <c r="K241" i="3"/>
  <c r="K259" i="3"/>
  <c r="K266" i="3"/>
  <c r="K273" i="3"/>
  <c r="K280" i="3"/>
  <c r="H2" i="3"/>
  <c r="K5" i="3"/>
  <c r="K6" i="3"/>
  <c r="K7" i="3"/>
  <c r="K8" i="3"/>
  <c r="K9" i="3"/>
  <c r="K10" i="3"/>
  <c r="K11" i="3"/>
  <c r="K12" i="3"/>
  <c r="K13" i="3"/>
  <c r="K14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301" i="3"/>
  <c r="K303" i="3"/>
  <c r="K313" i="3"/>
  <c r="K318" i="3"/>
  <c r="K323" i="3"/>
  <c r="K325" i="3"/>
  <c r="K328" i="3"/>
  <c r="K335" i="3"/>
  <c r="K338" i="3"/>
  <c r="K341" i="3"/>
  <c r="K363" i="3"/>
  <c r="K366" i="3"/>
  <c r="K369" i="3"/>
  <c r="K381" i="3"/>
  <c r="K386" i="3"/>
  <c r="K391" i="3"/>
  <c r="K394" i="3"/>
  <c r="K399" i="3"/>
  <c r="K402" i="3"/>
  <c r="K405" i="3"/>
  <c r="K409" i="3"/>
  <c r="K413" i="3"/>
  <c r="K417" i="3"/>
  <c r="K420" i="3"/>
  <c r="K422" i="3"/>
  <c r="K425" i="3"/>
  <c r="K429" i="3"/>
  <c r="K431" i="3"/>
  <c r="K436" i="3"/>
  <c r="K441" i="3"/>
  <c r="K444" i="3"/>
  <c r="K446" i="3"/>
  <c r="K452" i="3"/>
  <c r="K454" i="3"/>
  <c r="K457" i="3"/>
  <c r="K460" i="3"/>
  <c r="K464" i="3"/>
  <c r="K466" i="3"/>
  <c r="K471" i="3"/>
  <c r="K474" i="3"/>
  <c r="K479" i="3"/>
  <c r="K481" i="3"/>
  <c r="K135" i="3"/>
  <c r="K146" i="3"/>
  <c r="K152" i="3"/>
  <c r="K156" i="3"/>
  <c r="K170" i="3"/>
  <c r="K176" i="3"/>
  <c r="K130" i="3"/>
  <c r="K132" i="3"/>
  <c r="K133" i="3"/>
  <c r="K134" i="3"/>
  <c r="K136" i="3"/>
  <c r="K137" i="3"/>
  <c r="K139" i="3"/>
  <c r="K142" i="3"/>
  <c r="K145" i="3"/>
  <c r="K148" i="3"/>
  <c r="K150" i="3"/>
  <c r="K151" i="3"/>
  <c r="K153" i="3"/>
  <c r="K155" i="3"/>
  <c r="K160" i="3"/>
  <c r="K162" i="3"/>
  <c r="K164" i="3"/>
  <c r="K166" i="3"/>
  <c r="K169" i="3"/>
  <c r="K173" i="3"/>
  <c r="K175" i="3"/>
  <c r="K180" i="3"/>
  <c r="K190" i="3"/>
  <c r="K195" i="3"/>
  <c r="K201" i="3"/>
  <c r="K203" i="3"/>
  <c r="K212" i="3"/>
  <c r="K215" i="3"/>
  <c r="K218" i="3"/>
  <c r="K224" i="3"/>
  <c r="K231" i="3"/>
  <c r="K232" i="3"/>
  <c r="K306" i="3"/>
  <c r="K314" i="3"/>
  <c r="K343" i="3"/>
  <c r="K364" i="3"/>
  <c r="K234" i="3"/>
  <c r="K243" i="3"/>
  <c r="K246" i="3"/>
  <c r="K256" i="3"/>
  <c r="K258" i="3"/>
  <c r="K265" i="3"/>
  <c r="K272" i="3"/>
  <c r="K144" i="3"/>
  <c r="K189" i="3"/>
  <c r="K211" i="3"/>
  <c r="K230" i="3"/>
  <c r="K244" i="3"/>
  <c r="K252" i="3"/>
  <c r="K276" i="3"/>
  <c r="K179" i="3"/>
  <c r="K223" i="3"/>
  <c r="K238" i="3"/>
  <c r="K283" i="3"/>
  <c r="K197" i="3"/>
  <c r="K202" i="3"/>
  <c r="K221" i="3"/>
  <c r="K235" i="3"/>
  <c r="K245" i="3"/>
  <c r="K281" i="3"/>
  <c r="K157" i="3"/>
  <c r="K192" i="3"/>
  <c r="K227" i="3"/>
  <c r="K250" i="3"/>
  <c r="K257" i="3"/>
  <c r="K261" i="3"/>
  <c r="K282" i="3"/>
  <c r="K171" i="3"/>
  <c r="K181" i="3"/>
  <c r="K187" i="3"/>
  <c r="K194" i="3"/>
  <c r="K196" i="3"/>
  <c r="K200" i="3"/>
  <c r="K214" i="3"/>
  <c r="K217" i="3"/>
  <c r="K260" i="3"/>
  <c r="K269" i="3"/>
  <c r="K274" i="3"/>
  <c r="K183" i="3"/>
  <c r="K184" i="3"/>
  <c r="K188" i="3"/>
  <c r="K204" i="3"/>
  <c r="K226" i="3"/>
  <c r="K233" i="3"/>
  <c r="K236" i="3"/>
  <c r="K240" i="3"/>
  <c r="K251" i="3"/>
  <c r="K255" i="3"/>
  <c r="K268" i="3"/>
  <c r="K271" i="3"/>
  <c r="K275" i="3"/>
  <c r="K277" i="3"/>
  <c r="U4" i="3" l="1"/>
  <c r="O5" i="3"/>
  <c r="T5" i="3"/>
  <c r="D5" i="3"/>
  <c r="E5" i="3" s="1"/>
  <c r="C6" i="3" s="1"/>
  <c r="N4" i="3"/>
  <c r="L5" i="3" s="1"/>
  <c r="M5" i="3" s="1"/>
  <c r="N5" i="3" s="1"/>
  <c r="L6" i="3" s="1"/>
  <c r="M6" i="3" s="1"/>
  <c r="N6" i="3" s="1"/>
  <c r="L7" i="3" s="1"/>
  <c r="M7" i="3" s="1"/>
  <c r="N7" i="3" s="1"/>
  <c r="L8" i="3" s="1"/>
  <c r="M8" i="3" s="1"/>
  <c r="N8" i="3" s="1"/>
  <c r="L9" i="3" s="1"/>
  <c r="M9" i="3" s="1"/>
  <c r="N9" i="3" s="1"/>
  <c r="L10" i="3" s="1"/>
  <c r="U5" i="3" l="1"/>
  <c r="O6" i="3"/>
  <c r="D6" i="3"/>
  <c r="E6" i="3" s="1"/>
  <c r="C7" i="3" s="1"/>
  <c r="T6" i="3"/>
  <c r="M10" i="3"/>
  <c r="N10" i="3" s="1"/>
  <c r="L11" i="3" s="1"/>
  <c r="U6" i="3" l="1"/>
  <c r="O7" i="3"/>
  <c r="D7" i="3"/>
  <c r="E7" i="3" s="1"/>
  <c r="C8" i="3" s="1"/>
  <c r="T7" i="3"/>
  <c r="M11" i="3"/>
  <c r="N11" i="3" s="1"/>
  <c r="L12" i="3" s="1"/>
  <c r="U7" i="3" l="1"/>
  <c r="O8" i="3"/>
  <c r="D8" i="3"/>
  <c r="E8" i="3" s="1"/>
  <c r="C9" i="3" s="1"/>
  <c r="T8" i="3"/>
  <c r="M12" i="3"/>
  <c r="N12" i="3" s="1"/>
  <c r="L13" i="3" s="1"/>
  <c r="U8" i="3" l="1"/>
  <c r="O9" i="3"/>
  <c r="D9" i="3"/>
  <c r="E9" i="3" s="1"/>
  <c r="C10" i="3" s="1"/>
  <c r="T9" i="3"/>
  <c r="M13" i="3"/>
  <c r="N13" i="3" s="1"/>
  <c r="L14" i="3" s="1"/>
  <c r="U9" i="3" l="1"/>
  <c r="O10" i="3"/>
  <c r="D10" i="3"/>
  <c r="E10" i="3" s="1"/>
  <c r="C11" i="3" s="1"/>
  <c r="T10" i="3"/>
  <c r="M14" i="3"/>
  <c r="N14" i="3" s="1"/>
  <c r="L15" i="3" s="1"/>
  <c r="U10" i="3" l="1"/>
  <c r="O11" i="3"/>
  <c r="D11" i="3"/>
  <c r="E11" i="3" s="1"/>
  <c r="C12" i="3" s="1"/>
  <c r="T11" i="3"/>
  <c r="M15" i="3"/>
  <c r="N15" i="3" s="1"/>
  <c r="L16" i="3" s="1"/>
  <c r="U11" i="3" l="1"/>
  <c r="O12" i="3"/>
  <c r="D12" i="3"/>
  <c r="E12" i="3" s="1"/>
  <c r="C13" i="3" s="1"/>
  <c r="T12" i="3"/>
  <c r="M16" i="3"/>
  <c r="N16" i="3" s="1"/>
  <c r="L17" i="3" s="1"/>
  <c r="U12" i="3" l="1"/>
  <c r="O13" i="3"/>
  <c r="D13" i="3"/>
  <c r="E13" i="3" s="1"/>
  <c r="C14" i="3" s="1"/>
  <c r="T13" i="3"/>
  <c r="M17" i="3"/>
  <c r="N17" i="3" s="1"/>
  <c r="L18" i="3" s="1"/>
  <c r="U13" i="3" l="1"/>
  <c r="O14" i="3"/>
  <c r="D14" i="3"/>
  <c r="E14" i="3" s="1"/>
  <c r="C15" i="3" s="1"/>
  <c r="T14" i="3"/>
  <c r="M18" i="3"/>
  <c r="N18" i="3" s="1"/>
  <c r="L19" i="3" s="1"/>
  <c r="C13" i="2" s="1"/>
  <c r="U14" i="3" l="1"/>
  <c r="O15" i="3"/>
  <c r="D15" i="3"/>
  <c r="E15" i="3" s="1"/>
  <c r="C16" i="3" s="1"/>
  <c r="T15" i="3"/>
  <c r="C9" i="2"/>
  <c r="M19" i="3"/>
  <c r="N19" i="3" s="1"/>
  <c r="L20" i="3" s="1"/>
  <c r="U15" i="3" l="1"/>
  <c r="O16" i="3"/>
  <c r="D16" i="3"/>
  <c r="E16" i="3" s="1"/>
  <c r="C17" i="3" s="1"/>
  <c r="T16" i="3"/>
  <c r="M20" i="3"/>
  <c r="N20" i="3" s="1"/>
  <c r="L21" i="3" s="1"/>
  <c r="U16" i="3" l="1"/>
  <c r="O17" i="3"/>
  <c r="D17" i="3"/>
  <c r="E17" i="3" s="1"/>
  <c r="C18" i="3" s="1"/>
  <c r="T17" i="3"/>
  <c r="M21" i="3"/>
  <c r="N21" i="3" s="1"/>
  <c r="L22" i="3" s="1"/>
  <c r="U17" i="3" l="1"/>
  <c r="O18" i="3"/>
  <c r="D18" i="3"/>
  <c r="E18" i="3" s="1"/>
  <c r="C19" i="3" s="1"/>
  <c r="T18" i="3"/>
  <c r="M22" i="3"/>
  <c r="N22" i="3" s="1"/>
  <c r="L23" i="3" s="1"/>
  <c r="U18" i="3" l="1"/>
  <c r="O19" i="3"/>
  <c r="D19" i="3"/>
  <c r="E19" i="3" s="1"/>
  <c r="C20" i="3" s="1"/>
  <c r="T19" i="3"/>
  <c r="M23" i="3"/>
  <c r="N23" i="3" s="1"/>
  <c r="L24" i="3" s="1"/>
  <c r="U19" i="3" l="1"/>
  <c r="O20" i="3"/>
  <c r="D20" i="3"/>
  <c r="E20" i="3" s="1"/>
  <c r="C21" i="3" s="1"/>
  <c r="T20" i="3"/>
  <c r="M24" i="3"/>
  <c r="N24" i="3" s="1"/>
  <c r="L25" i="3" s="1"/>
  <c r="C14" i="2" l="1"/>
  <c r="C15" i="2" s="1"/>
  <c r="O21" i="3"/>
  <c r="U20" i="3"/>
  <c r="D21" i="3"/>
  <c r="E21" i="3" s="1"/>
  <c r="C22" i="3" s="1"/>
  <c r="T21" i="3"/>
  <c r="M25" i="3"/>
  <c r="N25" i="3" s="1"/>
  <c r="L26" i="3" s="1"/>
  <c r="U21" i="3" l="1"/>
  <c r="O22" i="3"/>
  <c r="D22" i="3"/>
  <c r="E22" i="3" s="1"/>
  <c r="C23" i="3" s="1"/>
  <c r="T22" i="3"/>
  <c r="M26" i="3"/>
  <c r="N26" i="3" s="1"/>
  <c r="L27" i="3" s="1"/>
  <c r="U22" i="3" l="1"/>
  <c r="O23" i="3"/>
  <c r="D23" i="3"/>
  <c r="E23" i="3" s="1"/>
  <c r="C24" i="3" s="1"/>
  <c r="T23" i="3"/>
  <c r="M27" i="3"/>
  <c r="N27" i="3" s="1"/>
  <c r="L28" i="3" s="1"/>
  <c r="U23" i="3" l="1"/>
  <c r="O24" i="3"/>
  <c r="D24" i="3"/>
  <c r="E24" i="3" s="1"/>
  <c r="C25" i="3" s="1"/>
  <c r="T24" i="3"/>
  <c r="M28" i="3"/>
  <c r="N28" i="3" s="1"/>
  <c r="L29" i="3" s="1"/>
  <c r="U24" i="3" l="1"/>
  <c r="O25" i="3"/>
  <c r="D25" i="3"/>
  <c r="E25" i="3" s="1"/>
  <c r="C26" i="3" s="1"/>
  <c r="T25" i="3"/>
  <c r="M29" i="3"/>
  <c r="N29" i="3" s="1"/>
  <c r="L30" i="3" s="1"/>
  <c r="U25" i="3" l="1"/>
  <c r="O26" i="3"/>
  <c r="D26" i="3"/>
  <c r="E26" i="3" s="1"/>
  <c r="C27" i="3" s="1"/>
  <c r="T26" i="3"/>
  <c r="M30" i="3"/>
  <c r="N30" i="3" s="1"/>
  <c r="L31" i="3" s="1"/>
  <c r="D13" i="2" s="1"/>
  <c r="U26" i="3" l="1"/>
  <c r="O27" i="3"/>
  <c r="D27" i="3"/>
  <c r="E27" i="3" s="1"/>
  <c r="C28" i="3" s="1"/>
  <c r="T27" i="3"/>
  <c r="D9" i="2"/>
  <c r="M31" i="3"/>
  <c r="N31" i="3" s="1"/>
  <c r="L32" i="3" s="1"/>
  <c r="U27" i="3" l="1"/>
  <c r="O28" i="3"/>
  <c r="D28" i="3"/>
  <c r="E28" i="3" s="1"/>
  <c r="C29" i="3" s="1"/>
  <c r="T28" i="3"/>
  <c r="M32" i="3"/>
  <c r="N32" i="3" s="1"/>
  <c r="L33" i="3" s="1"/>
  <c r="U28" i="3" l="1"/>
  <c r="O29" i="3"/>
  <c r="D29" i="3"/>
  <c r="E29" i="3" s="1"/>
  <c r="C30" i="3" s="1"/>
  <c r="T29" i="3"/>
  <c r="M33" i="3"/>
  <c r="N33" i="3" s="1"/>
  <c r="L34" i="3" s="1"/>
  <c r="U29" i="3" l="1"/>
  <c r="O30" i="3"/>
  <c r="D30" i="3"/>
  <c r="E30" i="3" s="1"/>
  <c r="C31" i="3" s="1"/>
  <c r="T30" i="3"/>
  <c r="M34" i="3"/>
  <c r="N34" i="3" s="1"/>
  <c r="L35" i="3" s="1"/>
  <c r="U30" i="3" l="1"/>
  <c r="O31" i="3"/>
  <c r="D31" i="3"/>
  <c r="E31" i="3" s="1"/>
  <c r="C32" i="3" s="1"/>
  <c r="T31" i="3"/>
  <c r="M35" i="3"/>
  <c r="N35" i="3" s="1"/>
  <c r="L36" i="3" s="1"/>
  <c r="U31" i="3" l="1"/>
  <c r="O32" i="3"/>
  <c r="D32" i="3"/>
  <c r="E32" i="3" s="1"/>
  <c r="C33" i="3" s="1"/>
  <c r="T32" i="3"/>
  <c r="M36" i="3"/>
  <c r="N36" i="3" s="1"/>
  <c r="L37" i="3" s="1"/>
  <c r="O33" i="3" l="1"/>
  <c r="D14" i="2"/>
  <c r="D15" i="2" s="1"/>
  <c r="U32" i="3"/>
  <c r="D33" i="3"/>
  <c r="E33" i="3" s="1"/>
  <c r="C34" i="3" s="1"/>
  <c r="T33" i="3"/>
  <c r="M37" i="3"/>
  <c r="N37" i="3" s="1"/>
  <c r="L38" i="3" s="1"/>
  <c r="U33" i="3" l="1"/>
  <c r="O34" i="3"/>
  <c r="D34" i="3"/>
  <c r="E34" i="3" s="1"/>
  <c r="C35" i="3" s="1"/>
  <c r="T34" i="3"/>
  <c r="M38" i="3"/>
  <c r="N38" i="3" s="1"/>
  <c r="L39" i="3" s="1"/>
  <c r="U34" i="3" l="1"/>
  <c r="O35" i="3"/>
  <c r="D35" i="3"/>
  <c r="E35" i="3" s="1"/>
  <c r="C36" i="3" s="1"/>
  <c r="T35" i="3"/>
  <c r="M39" i="3"/>
  <c r="N39" i="3" s="1"/>
  <c r="L40" i="3" s="1"/>
  <c r="U35" i="3" l="1"/>
  <c r="O36" i="3"/>
  <c r="D36" i="3"/>
  <c r="E36" i="3" s="1"/>
  <c r="C37" i="3" s="1"/>
  <c r="T36" i="3"/>
  <c r="M40" i="3"/>
  <c r="N40" i="3" s="1"/>
  <c r="L41" i="3" s="1"/>
  <c r="U36" i="3" l="1"/>
  <c r="O37" i="3"/>
  <c r="D37" i="3"/>
  <c r="E37" i="3" s="1"/>
  <c r="C38" i="3" s="1"/>
  <c r="T37" i="3"/>
  <c r="M41" i="3"/>
  <c r="N41" i="3" s="1"/>
  <c r="L42" i="3" s="1"/>
  <c r="U37" i="3" l="1"/>
  <c r="O38" i="3"/>
  <c r="D38" i="3"/>
  <c r="E38" i="3" s="1"/>
  <c r="C39" i="3" s="1"/>
  <c r="T38" i="3"/>
  <c r="M42" i="3"/>
  <c r="N42" i="3" s="1"/>
  <c r="L43" i="3" s="1"/>
  <c r="E13" i="2" s="1"/>
  <c r="U38" i="3" l="1"/>
  <c r="O39" i="3"/>
  <c r="D39" i="3"/>
  <c r="E39" i="3" s="1"/>
  <c r="C40" i="3" s="1"/>
  <c r="T39" i="3"/>
  <c r="E9" i="2"/>
  <c r="M43" i="3"/>
  <c r="N43" i="3" s="1"/>
  <c r="L44" i="3" s="1"/>
  <c r="M44" i="3" s="1"/>
  <c r="N44" i="3" s="1"/>
  <c r="L45" i="3" s="1"/>
  <c r="M45" i="3" s="1"/>
  <c r="N45" i="3" s="1"/>
  <c r="L46" i="3" s="1"/>
  <c r="M46" i="3" s="1"/>
  <c r="N46" i="3" s="1"/>
  <c r="L47" i="3" s="1"/>
  <c r="M47" i="3" s="1"/>
  <c r="N47" i="3" s="1"/>
  <c r="L48" i="3" s="1"/>
  <c r="M48" i="3" s="1"/>
  <c r="N48" i="3" s="1"/>
  <c r="L49" i="3" s="1"/>
  <c r="M49" i="3" s="1"/>
  <c r="N49" i="3" s="1"/>
  <c r="L50" i="3" s="1"/>
  <c r="U39" i="3" l="1"/>
  <c r="O40" i="3"/>
  <c r="D40" i="3"/>
  <c r="E40" i="3" s="1"/>
  <c r="C41" i="3" s="1"/>
  <c r="T40" i="3"/>
  <c r="M50" i="3"/>
  <c r="N50" i="3" s="1"/>
  <c r="L51" i="3" s="1"/>
  <c r="M51" i="3" s="1"/>
  <c r="N51" i="3" s="1"/>
  <c r="L52" i="3" s="1"/>
  <c r="M52" i="3" s="1"/>
  <c r="N52" i="3" s="1"/>
  <c r="L53" i="3" s="1"/>
  <c r="M53" i="3" s="1"/>
  <c r="N53" i="3" s="1"/>
  <c r="L54" i="3" s="1"/>
  <c r="M54" i="3" s="1"/>
  <c r="N54" i="3" s="1"/>
  <c r="L55" i="3" s="1"/>
  <c r="U40" i="3" l="1"/>
  <c r="O41" i="3"/>
  <c r="D41" i="3"/>
  <c r="E41" i="3" s="1"/>
  <c r="C42" i="3" s="1"/>
  <c r="T41" i="3"/>
  <c r="M55" i="3"/>
  <c r="N55" i="3" s="1"/>
  <c r="L56" i="3" s="1"/>
  <c r="M56" i="3" s="1"/>
  <c r="N56" i="3" s="1"/>
  <c r="L57" i="3" s="1"/>
  <c r="M57" i="3" s="1"/>
  <c r="N57" i="3" s="1"/>
  <c r="L58" i="3" s="1"/>
  <c r="M58" i="3" s="1"/>
  <c r="N58" i="3" s="1"/>
  <c r="L59" i="3" s="1"/>
  <c r="M59" i="3" s="1"/>
  <c r="N59" i="3" s="1"/>
  <c r="L60" i="3" s="1"/>
  <c r="M60" i="3" s="1"/>
  <c r="N60" i="3" s="1"/>
  <c r="L61" i="3" s="1"/>
  <c r="M61" i="3" s="1"/>
  <c r="N61" i="3" s="1"/>
  <c r="L62" i="3" s="1"/>
  <c r="M62" i="3" s="1"/>
  <c r="N62" i="3" s="1"/>
  <c r="L63" i="3" s="1"/>
  <c r="M63" i="3" s="1"/>
  <c r="N63" i="3" s="1"/>
  <c r="L64" i="3" s="1"/>
  <c r="M64" i="3" s="1"/>
  <c r="N64" i="3" s="1"/>
  <c r="L65" i="3" s="1"/>
  <c r="M65" i="3" s="1"/>
  <c r="N65" i="3" s="1"/>
  <c r="L66" i="3" s="1"/>
  <c r="M66" i="3" s="1"/>
  <c r="N66" i="3" s="1"/>
  <c r="L67" i="3" s="1"/>
  <c r="F13" i="2"/>
  <c r="U41" i="3" l="1"/>
  <c r="O42" i="3"/>
  <c r="D42" i="3"/>
  <c r="E42" i="3" s="1"/>
  <c r="C43" i="3" s="1"/>
  <c r="T42" i="3"/>
  <c r="G13" i="2"/>
  <c r="M67" i="3"/>
  <c r="N67" i="3" s="1"/>
  <c r="L68" i="3" s="1"/>
  <c r="M68" i="3" s="1"/>
  <c r="N68" i="3" s="1"/>
  <c r="L69" i="3" s="1"/>
  <c r="M69" i="3" s="1"/>
  <c r="N69" i="3" s="1"/>
  <c r="L70" i="3" s="1"/>
  <c r="U42" i="3" l="1"/>
  <c r="O43" i="3"/>
  <c r="D43" i="3"/>
  <c r="E43" i="3" s="1"/>
  <c r="C44" i="3" s="1"/>
  <c r="T43" i="3"/>
  <c r="M70" i="3"/>
  <c r="N70" i="3" s="1"/>
  <c r="L71" i="3" s="1"/>
  <c r="M71" i="3" s="1"/>
  <c r="N71" i="3" s="1"/>
  <c r="L72" i="3" s="1"/>
  <c r="U43" i="3" l="1"/>
  <c r="O44" i="3"/>
  <c r="D44" i="3"/>
  <c r="E44" i="3" s="1"/>
  <c r="C45" i="3" s="1"/>
  <c r="T44" i="3"/>
  <c r="M72" i="3"/>
  <c r="N72" i="3" s="1"/>
  <c r="L73" i="3" s="1"/>
  <c r="O45" i="3" l="1"/>
  <c r="E14" i="2"/>
  <c r="E15" i="2" s="1"/>
  <c r="U44" i="3"/>
  <c r="D45" i="3"/>
  <c r="E45" i="3" s="1"/>
  <c r="C46" i="3" s="1"/>
  <c r="T45" i="3"/>
  <c r="M73" i="3"/>
  <c r="N73" i="3" s="1"/>
  <c r="L74" i="3" s="1"/>
  <c r="U45" i="3" l="1"/>
  <c r="O46" i="3"/>
  <c r="D46" i="3"/>
  <c r="E46" i="3" s="1"/>
  <c r="C47" i="3" s="1"/>
  <c r="T46" i="3"/>
  <c r="M74" i="3"/>
  <c r="N74" i="3" s="1"/>
  <c r="L75" i="3" s="1"/>
  <c r="U46" i="3" l="1"/>
  <c r="O47" i="3"/>
  <c r="D47" i="3"/>
  <c r="E47" i="3" s="1"/>
  <c r="C48" i="3" s="1"/>
  <c r="T47" i="3"/>
  <c r="M75" i="3"/>
  <c r="N75" i="3" s="1"/>
  <c r="L76" i="3" s="1"/>
  <c r="U47" i="3" l="1"/>
  <c r="O48" i="3"/>
  <c r="D48" i="3"/>
  <c r="E48" i="3" s="1"/>
  <c r="C49" i="3" s="1"/>
  <c r="T48" i="3"/>
  <c r="M76" i="3"/>
  <c r="N76" i="3" s="1"/>
  <c r="L77" i="3" s="1"/>
  <c r="U48" i="3" l="1"/>
  <c r="O49" i="3"/>
  <c r="D49" i="3"/>
  <c r="E49" i="3" s="1"/>
  <c r="C50" i="3" s="1"/>
  <c r="T49" i="3"/>
  <c r="M77" i="3"/>
  <c r="N77" i="3" s="1"/>
  <c r="L78" i="3" s="1"/>
  <c r="U49" i="3" l="1"/>
  <c r="O50" i="3"/>
  <c r="D50" i="3"/>
  <c r="E50" i="3" s="1"/>
  <c r="C51" i="3" s="1"/>
  <c r="T50" i="3"/>
  <c r="M78" i="3"/>
  <c r="N78" i="3" s="1"/>
  <c r="L79" i="3" s="1"/>
  <c r="U50" i="3" l="1"/>
  <c r="O51" i="3"/>
  <c r="D51" i="3"/>
  <c r="E51" i="3" s="1"/>
  <c r="C52" i="3" s="1"/>
  <c r="T51" i="3"/>
  <c r="F9" i="2"/>
  <c r="M79" i="3"/>
  <c r="N79" i="3" s="1"/>
  <c r="L80" i="3" s="1"/>
  <c r="M80" i="3" s="1"/>
  <c r="N80" i="3" s="1"/>
  <c r="L81" i="3" s="1"/>
  <c r="H13" i="2"/>
  <c r="U51" i="3" l="1"/>
  <c r="O52" i="3"/>
  <c r="D52" i="3"/>
  <c r="E52" i="3" s="1"/>
  <c r="C53" i="3" s="1"/>
  <c r="T52" i="3"/>
  <c r="M81" i="3"/>
  <c r="N81" i="3" s="1"/>
  <c r="L82" i="3" s="1"/>
  <c r="U52" i="3" l="1"/>
  <c r="O53" i="3"/>
  <c r="D53" i="3"/>
  <c r="E53" i="3" s="1"/>
  <c r="C54" i="3" s="1"/>
  <c r="T53" i="3"/>
  <c r="M82" i="3"/>
  <c r="N82" i="3" s="1"/>
  <c r="L83" i="3" s="1"/>
  <c r="M83" i="3" s="1"/>
  <c r="N83" i="3" s="1"/>
  <c r="L84" i="3" s="1"/>
  <c r="U53" i="3" l="1"/>
  <c r="O54" i="3"/>
  <c r="D54" i="3"/>
  <c r="E54" i="3" s="1"/>
  <c r="C55" i="3" s="1"/>
  <c r="T54" i="3"/>
  <c r="M84" i="3"/>
  <c r="N84" i="3" s="1"/>
  <c r="L85" i="3" s="1"/>
  <c r="U54" i="3" l="1"/>
  <c r="O55" i="3"/>
  <c r="D55" i="3"/>
  <c r="E55" i="3" s="1"/>
  <c r="C56" i="3" s="1"/>
  <c r="T55" i="3"/>
  <c r="M85" i="3"/>
  <c r="N85" i="3" s="1"/>
  <c r="L86" i="3" s="1"/>
  <c r="U55" i="3" l="1"/>
  <c r="O56" i="3"/>
  <c r="D56" i="3"/>
  <c r="E56" i="3" s="1"/>
  <c r="C57" i="3" s="1"/>
  <c r="T56" i="3"/>
  <c r="M86" i="3"/>
  <c r="N86" i="3" s="1"/>
  <c r="L87" i="3" s="1"/>
  <c r="O57" i="3" l="1"/>
  <c r="F14" i="2"/>
  <c r="F15" i="2" s="1"/>
  <c r="U56" i="3"/>
  <c r="D57" i="3"/>
  <c r="E57" i="3" s="1"/>
  <c r="C58" i="3" s="1"/>
  <c r="T57" i="3"/>
  <c r="M87" i="3"/>
  <c r="N87" i="3" s="1"/>
  <c r="L88" i="3" s="1"/>
  <c r="U57" i="3" l="1"/>
  <c r="O58" i="3"/>
  <c r="D58" i="3"/>
  <c r="E58" i="3" s="1"/>
  <c r="C59" i="3" s="1"/>
  <c r="T58" i="3"/>
  <c r="M88" i="3"/>
  <c r="N88" i="3" s="1"/>
  <c r="L89" i="3" s="1"/>
  <c r="U58" i="3" l="1"/>
  <c r="O59" i="3"/>
  <c r="D59" i="3"/>
  <c r="E59" i="3" s="1"/>
  <c r="C60" i="3" s="1"/>
  <c r="T59" i="3"/>
  <c r="M89" i="3"/>
  <c r="N89" i="3" s="1"/>
  <c r="L90" i="3" s="1"/>
  <c r="U59" i="3" l="1"/>
  <c r="O60" i="3"/>
  <c r="D60" i="3"/>
  <c r="E60" i="3" s="1"/>
  <c r="C61" i="3" s="1"/>
  <c r="T60" i="3"/>
  <c r="M90" i="3"/>
  <c r="N90" i="3" s="1"/>
  <c r="L91" i="3" s="1"/>
  <c r="U60" i="3" l="1"/>
  <c r="O61" i="3"/>
  <c r="D61" i="3"/>
  <c r="E61" i="3" s="1"/>
  <c r="C62" i="3" s="1"/>
  <c r="T61" i="3"/>
  <c r="M91" i="3"/>
  <c r="N91" i="3" s="1"/>
  <c r="L92" i="3" s="1"/>
  <c r="M92" i="3" s="1"/>
  <c r="N92" i="3" s="1"/>
  <c r="L93" i="3" s="1"/>
  <c r="I13" i="2"/>
  <c r="U61" i="3" l="1"/>
  <c r="O62" i="3"/>
  <c r="D62" i="3"/>
  <c r="E62" i="3" s="1"/>
  <c r="C63" i="3" s="1"/>
  <c r="T62" i="3"/>
  <c r="M93" i="3"/>
  <c r="N93" i="3" s="1"/>
  <c r="L94" i="3" s="1"/>
  <c r="U62" i="3" l="1"/>
  <c r="O63" i="3"/>
  <c r="D63" i="3"/>
  <c r="E63" i="3" s="1"/>
  <c r="C64" i="3" s="1"/>
  <c r="T63" i="3"/>
  <c r="G9" i="2"/>
  <c r="M94" i="3"/>
  <c r="N94" i="3" s="1"/>
  <c r="L95" i="3" s="1"/>
  <c r="M95" i="3" s="1"/>
  <c r="N95" i="3" s="1"/>
  <c r="L96" i="3" s="1"/>
  <c r="M96" i="3" s="1"/>
  <c r="N96" i="3" s="1"/>
  <c r="L97" i="3" s="1"/>
  <c r="M97" i="3" s="1"/>
  <c r="N97" i="3" s="1"/>
  <c r="L98" i="3" s="1"/>
  <c r="M98" i="3" s="1"/>
  <c r="N98" i="3" s="1"/>
  <c r="L99" i="3" s="1"/>
  <c r="M99" i="3" s="1"/>
  <c r="N99" i="3" s="1"/>
  <c r="L100" i="3" s="1"/>
  <c r="M100" i="3" s="1"/>
  <c r="N100" i="3" s="1"/>
  <c r="L101" i="3" s="1"/>
  <c r="M101" i="3" s="1"/>
  <c r="N101" i="3" s="1"/>
  <c r="L102" i="3" s="1"/>
  <c r="M102" i="3" s="1"/>
  <c r="N102" i="3" s="1"/>
  <c r="L103" i="3" s="1"/>
  <c r="U63" i="3" l="1"/>
  <c r="O64" i="3"/>
  <c r="D64" i="3"/>
  <c r="E64" i="3" s="1"/>
  <c r="C65" i="3" s="1"/>
  <c r="T64" i="3"/>
  <c r="J13" i="2"/>
  <c r="M103" i="3"/>
  <c r="N103" i="3" s="1"/>
  <c r="L104" i="3" s="1"/>
  <c r="M104" i="3" s="1"/>
  <c r="N104" i="3" s="1"/>
  <c r="L105" i="3" s="1"/>
  <c r="M105" i="3" s="1"/>
  <c r="N105" i="3" s="1"/>
  <c r="L106" i="3" s="1"/>
  <c r="M106" i="3" s="1"/>
  <c r="N106" i="3" s="1"/>
  <c r="L107" i="3" s="1"/>
  <c r="M107" i="3" s="1"/>
  <c r="N107" i="3" s="1"/>
  <c r="L108" i="3" s="1"/>
  <c r="M108" i="3" s="1"/>
  <c r="N108" i="3" s="1"/>
  <c r="L109" i="3" s="1"/>
  <c r="U64" i="3" l="1"/>
  <c r="O65" i="3"/>
  <c r="D65" i="3"/>
  <c r="E65" i="3" s="1"/>
  <c r="C66" i="3" s="1"/>
  <c r="T65" i="3"/>
  <c r="M109" i="3"/>
  <c r="N109" i="3" s="1"/>
  <c r="L110" i="3" s="1"/>
  <c r="U65" i="3" l="1"/>
  <c r="O66" i="3"/>
  <c r="D66" i="3"/>
  <c r="E66" i="3" s="1"/>
  <c r="C67" i="3" s="1"/>
  <c r="T66" i="3"/>
  <c r="M110" i="3"/>
  <c r="N110" i="3" s="1"/>
  <c r="L111" i="3" s="1"/>
  <c r="U66" i="3" l="1"/>
  <c r="O67" i="3"/>
  <c r="D67" i="3"/>
  <c r="E67" i="3" s="1"/>
  <c r="C68" i="3" s="1"/>
  <c r="T67" i="3"/>
  <c r="M111" i="3"/>
  <c r="N111" i="3" s="1"/>
  <c r="L112" i="3" s="1"/>
  <c r="U67" i="3" l="1"/>
  <c r="O68" i="3"/>
  <c r="D68" i="3"/>
  <c r="E68" i="3" s="1"/>
  <c r="C69" i="3" s="1"/>
  <c r="T68" i="3"/>
  <c r="M112" i="3"/>
  <c r="N112" i="3" s="1"/>
  <c r="L113" i="3" s="1"/>
  <c r="O69" i="3" l="1"/>
  <c r="G14" i="2"/>
  <c r="G15" i="2" s="1"/>
  <c r="U68" i="3"/>
  <c r="D69" i="3"/>
  <c r="E69" i="3" s="1"/>
  <c r="C70" i="3" s="1"/>
  <c r="T69" i="3"/>
  <c r="M113" i="3"/>
  <c r="N113" i="3" s="1"/>
  <c r="L114" i="3" s="1"/>
  <c r="U69" i="3" l="1"/>
  <c r="O70" i="3"/>
  <c r="D70" i="3"/>
  <c r="E70" i="3" s="1"/>
  <c r="C71" i="3" s="1"/>
  <c r="T70" i="3"/>
  <c r="M114" i="3"/>
  <c r="N114" i="3" s="1"/>
  <c r="L115" i="3" s="1"/>
  <c r="K13" i="2" s="1"/>
  <c r="U70" i="3" l="1"/>
  <c r="O71" i="3"/>
  <c r="D71" i="3"/>
  <c r="E71" i="3" s="1"/>
  <c r="C72" i="3" s="1"/>
  <c r="T71" i="3"/>
  <c r="M115" i="3"/>
  <c r="N115" i="3" s="1"/>
  <c r="L116" i="3" s="1"/>
  <c r="U71" i="3" l="1"/>
  <c r="O72" i="3"/>
  <c r="D72" i="3"/>
  <c r="E72" i="3" s="1"/>
  <c r="C73" i="3" s="1"/>
  <c r="T72" i="3"/>
  <c r="M116" i="3"/>
  <c r="N116" i="3" s="1"/>
  <c r="L117" i="3" s="1"/>
  <c r="U72" i="3" l="1"/>
  <c r="O73" i="3"/>
  <c r="D73" i="3"/>
  <c r="E73" i="3" s="1"/>
  <c r="C74" i="3" s="1"/>
  <c r="T73" i="3"/>
  <c r="M117" i="3"/>
  <c r="N117" i="3" s="1"/>
  <c r="L118" i="3" s="1"/>
  <c r="U73" i="3" l="1"/>
  <c r="O74" i="3"/>
  <c r="D74" i="3"/>
  <c r="E74" i="3" s="1"/>
  <c r="C75" i="3" s="1"/>
  <c r="T74" i="3"/>
  <c r="M118" i="3"/>
  <c r="N118" i="3" s="1"/>
  <c r="L119" i="3" s="1"/>
  <c r="U74" i="3" l="1"/>
  <c r="O75" i="3"/>
  <c r="D75" i="3"/>
  <c r="E75" i="3" s="1"/>
  <c r="C76" i="3" s="1"/>
  <c r="T75" i="3"/>
  <c r="H9" i="2"/>
  <c r="M119" i="3"/>
  <c r="N119" i="3" s="1"/>
  <c r="L120" i="3" s="1"/>
  <c r="U75" i="3" l="1"/>
  <c r="O76" i="3"/>
  <c r="D76" i="3"/>
  <c r="E76" i="3" s="1"/>
  <c r="C77" i="3" s="1"/>
  <c r="T76" i="3"/>
  <c r="M120" i="3"/>
  <c r="N120" i="3" s="1"/>
  <c r="L121" i="3" s="1"/>
  <c r="U76" i="3" l="1"/>
  <c r="O77" i="3"/>
  <c r="D77" i="3"/>
  <c r="E77" i="3" s="1"/>
  <c r="C78" i="3" s="1"/>
  <c r="T77" i="3"/>
  <c r="M121" i="3"/>
  <c r="N121" i="3" s="1"/>
  <c r="L122" i="3" s="1"/>
  <c r="U77" i="3" l="1"/>
  <c r="O78" i="3"/>
  <c r="D78" i="3"/>
  <c r="E78" i="3" s="1"/>
  <c r="C79" i="3" s="1"/>
  <c r="T78" i="3"/>
  <c r="M122" i="3"/>
  <c r="N122" i="3" s="1"/>
  <c r="L123" i="3" s="1"/>
  <c r="U78" i="3" l="1"/>
  <c r="O79" i="3"/>
  <c r="D79" i="3"/>
  <c r="E79" i="3" s="1"/>
  <c r="C80" i="3" s="1"/>
  <c r="T79" i="3"/>
  <c r="M123" i="3"/>
  <c r="N123" i="3" s="1"/>
  <c r="L124" i="3" s="1"/>
  <c r="U79" i="3" l="1"/>
  <c r="O80" i="3"/>
  <c r="D80" i="3"/>
  <c r="E80" i="3" s="1"/>
  <c r="C81" i="3" s="1"/>
  <c r="T80" i="3"/>
  <c r="M124" i="3"/>
  <c r="N124" i="3" s="1"/>
  <c r="L125" i="3" s="1"/>
  <c r="H14" i="2" l="1"/>
  <c r="H15" i="2" s="1"/>
  <c r="O81" i="3"/>
  <c r="U80" i="3"/>
  <c r="D81" i="3"/>
  <c r="E81" i="3" s="1"/>
  <c r="C82" i="3" s="1"/>
  <c r="T81" i="3"/>
  <c r="M125" i="3"/>
  <c r="N125" i="3" s="1"/>
  <c r="L126" i="3" s="1"/>
  <c r="U81" i="3" l="1"/>
  <c r="O82" i="3"/>
  <c r="D82" i="3"/>
  <c r="E82" i="3" s="1"/>
  <c r="C83" i="3" s="1"/>
  <c r="T82" i="3"/>
  <c r="M126" i="3"/>
  <c r="N126" i="3" s="1"/>
  <c r="L127" i="3" s="1"/>
  <c r="L13" i="2" s="1"/>
  <c r="U82" i="3" l="1"/>
  <c r="O83" i="3"/>
  <c r="D83" i="3"/>
  <c r="E83" i="3" s="1"/>
  <c r="C84" i="3" s="1"/>
  <c r="T83" i="3"/>
  <c r="M127" i="3"/>
  <c r="N127" i="3" s="1"/>
  <c r="L128" i="3" s="1"/>
  <c r="U83" i="3" l="1"/>
  <c r="O84" i="3"/>
  <c r="D84" i="3"/>
  <c r="E84" i="3" s="1"/>
  <c r="C85" i="3" s="1"/>
  <c r="T84" i="3"/>
  <c r="M128" i="3"/>
  <c r="N128" i="3" s="1"/>
  <c r="L129" i="3" s="1"/>
  <c r="U84" i="3" l="1"/>
  <c r="O85" i="3"/>
  <c r="D85" i="3"/>
  <c r="E85" i="3" s="1"/>
  <c r="C86" i="3" s="1"/>
  <c r="T85" i="3"/>
  <c r="M129" i="3"/>
  <c r="N129" i="3" s="1"/>
  <c r="L130" i="3" s="1"/>
  <c r="U85" i="3" l="1"/>
  <c r="O86" i="3"/>
  <c r="D86" i="3"/>
  <c r="E86" i="3" s="1"/>
  <c r="C87" i="3" s="1"/>
  <c r="T86" i="3"/>
  <c r="M130" i="3"/>
  <c r="N130" i="3" s="1"/>
  <c r="L131" i="3" s="1"/>
  <c r="U86" i="3" l="1"/>
  <c r="O87" i="3"/>
  <c r="D87" i="3"/>
  <c r="E87" i="3" s="1"/>
  <c r="C88" i="3" s="1"/>
  <c r="T87" i="3"/>
  <c r="I9" i="2"/>
  <c r="M131" i="3"/>
  <c r="N131" i="3" s="1"/>
  <c r="L132" i="3" s="1"/>
  <c r="U87" i="3" l="1"/>
  <c r="O88" i="3"/>
  <c r="D88" i="3"/>
  <c r="E88" i="3" s="1"/>
  <c r="C89" i="3" s="1"/>
  <c r="T88" i="3"/>
  <c r="M132" i="3"/>
  <c r="N132" i="3" s="1"/>
  <c r="L133" i="3" s="1"/>
  <c r="U88" i="3" l="1"/>
  <c r="O89" i="3"/>
  <c r="D89" i="3"/>
  <c r="E89" i="3" s="1"/>
  <c r="C90" i="3" s="1"/>
  <c r="T89" i="3"/>
  <c r="M133" i="3"/>
  <c r="N133" i="3" s="1"/>
  <c r="L134" i="3" s="1"/>
  <c r="U89" i="3" l="1"/>
  <c r="O90" i="3"/>
  <c r="D90" i="3"/>
  <c r="E90" i="3" s="1"/>
  <c r="C91" i="3" s="1"/>
  <c r="T90" i="3"/>
  <c r="M134" i="3"/>
  <c r="N134" i="3" s="1"/>
  <c r="L135" i="3" s="1"/>
  <c r="U90" i="3" l="1"/>
  <c r="O91" i="3"/>
  <c r="D91" i="3"/>
  <c r="E91" i="3" s="1"/>
  <c r="C92" i="3" s="1"/>
  <c r="T91" i="3"/>
  <c r="M135" i="3"/>
  <c r="N135" i="3" s="1"/>
  <c r="L136" i="3" s="1"/>
  <c r="U91" i="3" l="1"/>
  <c r="O92" i="3"/>
  <c r="D92" i="3"/>
  <c r="E92" i="3" s="1"/>
  <c r="C93" i="3" s="1"/>
  <c r="T92" i="3"/>
  <c r="M136" i="3"/>
  <c r="N136" i="3" s="1"/>
  <c r="L137" i="3" s="1"/>
  <c r="O93" i="3" l="1"/>
  <c r="I14" i="2"/>
  <c r="I15" i="2" s="1"/>
  <c r="U92" i="3"/>
  <c r="D93" i="3"/>
  <c r="E93" i="3" s="1"/>
  <c r="C94" i="3" s="1"/>
  <c r="T93" i="3"/>
  <c r="M137" i="3"/>
  <c r="N137" i="3" s="1"/>
  <c r="L138" i="3" s="1"/>
  <c r="U93" i="3" l="1"/>
  <c r="O94" i="3"/>
  <c r="D94" i="3"/>
  <c r="E94" i="3" s="1"/>
  <c r="C95" i="3" s="1"/>
  <c r="T94" i="3"/>
  <c r="M138" i="3"/>
  <c r="N138" i="3" s="1"/>
  <c r="L139" i="3" s="1"/>
  <c r="U94" i="3" l="1"/>
  <c r="O95" i="3"/>
  <c r="D95" i="3"/>
  <c r="E95" i="3" s="1"/>
  <c r="C96" i="3" s="1"/>
  <c r="T95" i="3"/>
  <c r="M139" i="3"/>
  <c r="N139" i="3" s="1"/>
  <c r="L140" i="3" s="1"/>
  <c r="U95" i="3" l="1"/>
  <c r="O96" i="3"/>
  <c r="D96" i="3"/>
  <c r="E96" i="3" s="1"/>
  <c r="C97" i="3" s="1"/>
  <c r="T96" i="3"/>
  <c r="M140" i="3"/>
  <c r="N140" i="3" s="1"/>
  <c r="L141" i="3" s="1"/>
  <c r="U96" i="3" l="1"/>
  <c r="O97" i="3"/>
  <c r="D97" i="3"/>
  <c r="E97" i="3" s="1"/>
  <c r="C98" i="3" s="1"/>
  <c r="T97" i="3"/>
  <c r="M141" i="3"/>
  <c r="N141" i="3" s="1"/>
  <c r="L142" i="3" s="1"/>
  <c r="U97" i="3" l="1"/>
  <c r="O98" i="3"/>
  <c r="D98" i="3"/>
  <c r="E98" i="3" s="1"/>
  <c r="C99" i="3" s="1"/>
  <c r="T98" i="3"/>
  <c r="M142" i="3"/>
  <c r="N142" i="3" s="1"/>
  <c r="L143" i="3" s="1"/>
  <c r="U98" i="3" l="1"/>
  <c r="O99" i="3"/>
  <c r="D99" i="3"/>
  <c r="E99" i="3" s="1"/>
  <c r="C100" i="3" s="1"/>
  <c r="T99" i="3"/>
  <c r="J9" i="2"/>
  <c r="M143" i="3"/>
  <c r="N143" i="3" s="1"/>
  <c r="L144" i="3" s="1"/>
  <c r="U99" i="3" l="1"/>
  <c r="O100" i="3"/>
  <c r="D100" i="3"/>
  <c r="E100" i="3" s="1"/>
  <c r="C101" i="3" s="1"/>
  <c r="T100" i="3"/>
  <c r="M144" i="3"/>
  <c r="N144" i="3" s="1"/>
  <c r="L145" i="3" s="1"/>
  <c r="U100" i="3" l="1"/>
  <c r="O101" i="3"/>
  <c r="D101" i="3"/>
  <c r="E101" i="3" s="1"/>
  <c r="C102" i="3" s="1"/>
  <c r="T101" i="3"/>
  <c r="M145" i="3"/>
  <c r="N145" i="3" s="1"/>
  <c r="L146" i="3" s="1"/>
  <c r="U101" i="3" l="1"/>
  <c r="O102" i="3"/>
  <c r="D102" i="3"/>
  <c r="E102" i="3" s="1"/>
  <c r="C103" i="3" s="1"/>
  <c r="T102" i="3"/>
  <c r="M146" i="3"/>
  <c r="N146" i="3" s="1"/>
  <c r="L147" i="3" s="1"/>
  <c r="U102" i="3" l="1"/>
  <c r="O103" i="3"/>
  <c r="D103" i="3"/>
  <c r="E103" i="3" s="1"/>
  <c r="C104" i="3" s="1"/>
  <c r="T103" i="3"/>
  <c r="M147" i="3"/>
  <c r="N147" i="3" s="1"/>
  <c r="L148" i="3" s="1"/>
  <c r="U103" i="3" l="1"/>
  <c r="O104" i="3"/>
  <c r="D104" i="3"/>
  <c r="E104" i="3" s="1"/>
  <c r="C105" i="3" s="1"/>
  <c r="T104" i="3"/>
  <c r="M148" i="3"/>
  <c r="N148" i="3" s="1"/>
  <c r="L149" i="3" s="1"/>
  <c r="O105" i="3" l="1"/>
  <c r="J14" i="2"/>
  <c r="J15" i="2" s="1"/>
  <c r="U104" i="3"/>
  <c r="D105" i="3"/>
  <c r="E105" i="3" s="1"/>
  <c r="C106" i="3" s="1"/>
  <c r="T105" i="3"/>
  <c r="M149" i="3"/>
  <c r="N149" i="3" s="1"/>
  <c r="L150" i="3" s="1"/>
  <c r="U105" i="3" l="1"/>
  <c r="O106" i="3"/>
  <c r="D106" i="3"/>
  <c r="E106" i="3" s="1"/>
  <c r="C107" i="3" s="1"/>
  <c r="T106" i="3"/>
  <c r="M150" i="3"/>
  <c r="N150" i="3" s="1"/>
  <c r="L151" i="3" s="1"/>
  <c r="U106" i="3" l="1"/>
  <c r="O107" i="3"/>
  <c r="D107" i="3"/>
  <c r="E107" i="3" s="1"/>
  <c r="C108" i="3" s="1"/>
  <c r="T107" i="3"/>
  <c r="M151" i="3"/>
  <c r="N151" i="3" s="1"/>
  <c r="L152" i="3" s="1"/>
  <c r="U107" i="3" l="1"/>
  <c r="O108" i="3"/>
  <c r="D108" i="3"/>
  <c r="E108" i="3" s="1"/>
  <c r="C109" i="3" s="1"/>
  <c r="T108" i="3"/>
  <c r="M152" i="3"/>
  <c r="N152" i="3" s="1"/>
  <c r="L153" i="3" s="1"/>
  <c r="U108" i="3" l="1"/>
  <c r="O109" i="3"/>
  <c r="D109" i="3"/>
  <c r="E109" i="3" s="1"/>
  <c r="C110" i="3" s="1"/>
  <c r="T109" i="3"/>
  <c r="M153" i="3"/>
  <c r="N153" i="3" s="1"/>
  <c r="L154" i="3" s="1"/>
  <c r="U109" i="3" l="1"/>
  <c r="O110" i="3"/>
  <c r="D110" i="3"/>
  <c r="E110" i="3" s="1"/>
  <c r="C111" i="3" s="1"/>
  <c r="T110" i="3"/>
  <c r="M154" i="3"/>
  <c r="N154" i="3" s="1"/>
  <c r="L155" i="3" s="1"/>
  <c r="U110" i="3" l="1"/>
  <c r="O111" i="3"/>
  <c r="D111" i="3"/>
  <c r="E111" i="3" s="1"/>
  <c r="C112" i="3" s="1"/>
  <c r="T111" i="3"/>
  <c r="K9" i="2"/>
  <c r="M155" i="3"/>
  <c r="N155" i="3" s="1"/>
  <c r="L156" i="3" s="1"/>
  <c r="U111" i="3" l="1"/>
  <c r="O112" i="3"/>
  <c r="D112" i="3"/>
  <c r="E112" i="3" s="1"/>
  <c r="C113" i="3" s="1"/>
  <c r="T112" i="3"/>
  <c r="M156" i="3"/>
  <c r="N156" i="3" s="1"/>
  <c r="L157" i="3" s="1"/>
  <c r="U112" i="3" l="1"/>
  <c r="O113" i="3"/>
  <c r="D113" i="3"/>
  <c r="E113" i="3" s="1"/>
  <c r="C114" i="3" s="1"/>
  <c r="T113" i="3"/>
  <c r="M157" i="3"/>
  <c r="N157" i="3" s="1"/>
  <c r="L158" i="3" s="1"/>
  <c r="U113" i="3" l="1"/>
  <c r="O114" i="3"/>
  <c r="D114" i="3"/>
  <c r="E114" i="3" s="1"/>
  <c r="C115" i="3" s="1"/>
  <c r="T114" i="3"/>
  <c r="M158" i="3"/>
  <c r="N158" i="3" s="1"/>
  <c r="L159" i="3" s="1"/>
  <c r="U114" i="3" l="1"/>
  <c r="O115" i="3"/>
  <c r="D115" i="3"/>
  <c r="E115" i="3" s="1"/>
  <c r="C116" i="3" s="1"/>
  <c r="T115" i="3"/>
  <c r="M159" i="3"/>
  <c r="N159" i="3" s="1"/>
  <c r="L160" i="3" s="1"/>
  <c r="U115" i="3" l="1"/>
  <c r="O116" i="3"/>
  <c r="D116" i="3"/>
  <c r="E116" i="3" s="1"/>
  <c r="C117" i="3" s="1"/>
  <c r="T116" i="3"/>
  <c r="M160" i="3"/>
  <c r="N160" i="3" s="1"/>
  <c r="L161" i="3" s="1"/>
  <c r="O117" i="3" l="1"/>
  <c r="K14" i="2"/>
  <c r="K15" i="2" s="1"/>
  <c r="U116" i="3"/>
  <c r="D117" i="3"/>
  <c r="E117" i="3" s="1"/>
  <c r="C118" i="3" s="1"/>
  <c r="T117" i="3"/>
  <c r="M161" i="3"/>
  <c r="N161" i="3" s="1"/>
  <c r="L162" i="3" s="1"/>
  <c r="U117" i="3" l="1"/>
  <c r="O118" i="3"/>
  <c r="D118" i="3"/>
  <c r="E118" i="3" s="1"/>
  <c r="C119" i="3" s="1"/>
  <c r="T118" i="3"/>
  <c r="M162" i="3"/>
  <c r="N162" i="3" s="1"/>
  <c r="L163" i="3" s="1"/>
  <c r="U118" i="3" l="1"/>
  <c r="O119" i="3"/>
  <c r="D119" i="3"/>
  <c r="E119" i="3" s="1"/>
  <c r="C120" i="3" s="1"/>
  <c r="T119" i="3"/>
  <c r="M163" i="3"/>
  <c r="N163" i="3" s="1"/>
  <c r="L164" i="3" s="1"/>
  <c r="U119" i="3" l="1"/>
  <c r="O120" i="3"/>
  <c r="D120" i="3"/>
  <c r="E120" i="3" s="1"/>
  <c r="C121" i="3" s="1"/>
  <c r="T120" i="3"/>
  <c r="M164" i="3"/>
  <c r="N164" i="3" s="1"/>
  <c r="L165" i="3" s="1"/>
  <c r="U120" i="3" l="1"/>
  <c r="O121" i="3"/>
  <c r="D121" i="3"/>
  <c r="E121" i="3" s="1"/>
  <c r="C122" i="3" s="1"/>
  <c r="T121" i="3"/>
  <c r="M165" i="3"/>
  <c r="N165" i="3" s="1"/>
  <c r="L166" i="3" s="1"/>
  <c r="U121" i="3" l="1"/>
  <c r="O122" i="3"/>
  <c r="D122" i="3"/>
  <c r="E122" i="3" s="1"/>
  <c r="C123" i="3" s="1"/>
  <c r="T122" i="3"/>
  <c r="M166" i="3"/>
  <c r="N166" i="3" s="1"/>
  <c r="L167" i="3" s="1"/>
  <c r="U122" i="3" l="1"/>
  <c r="O123" i="3"/>
  <c r="D123" i="3"/>
  <c r="E123" i="3" s="1"/>
  <c r="C124" i="3" s="1"/>
  <c r="T123" i="3"/>
  <c r="L9" i="2"/>
  <c r="M167" i="3"/>
  <c r="N167" i="3" s="1"/>
  <c r="L168" i="3" s="1"/>
  <c r="U123" i="3" l="1"/>
  <c r="O124" i="3"/>
  <c r="D124" i="3"/>
  <c r="E124" i="3" s="1"/>
  <c r="C125" i="3" s="1"/>
  <c r="T124" i="3"/>
  <c r="M168" i="3"/>
  <c r="N168" i="3" s="1"/>
  <c r="L169" i="3" s="1"/>
  <c r="U124" i="3" l="1"/>
  <c r="O125" i="3"/>
  <c r="D125" i="3"/>
  <c r="E125" i="3" s="1"/>
  <c r="C126" i="3" s="1"/>
  <c r="T125" i="3"/>
  <c r="M169" i="3"/>
  <c r="N169" i="3" s="1"/>
  <c r="L170" i="3" s="1"/>
  <c r="U125" i="3" l="1"/>
  <c r="O126" i="3"/>
  <c r="D126" i="3"/>
  <c r="E126" i="3" s="1"/>
  <c r="C127" i="3" s="1"/>
  <c r="T126" i="3"/>
  <c r="M170" i="3"/>
  <c r="N170" i="3" s="1"/>
  <c r="L171" i="3" s="1"/>
  <c r="U126" i="3" l="1"/>
  <c r="O127" i="3"/>
  <c r="D127" i="3"/>
  <c r="E127" i="3" s="1"/>
  <c r="C128" i="3" s="1"/>
  <c r="T127" i="3"/>
  <c r="M171" i="3"/>
  <c r="N171" i="3" s="1"/>
  <c r="L172" i="3" s="1"/>
  <c r="U127" i="3" l="1"/>
  <c r="O128" i="3"/>
  <c r="D128" i="3"/>
  <c r="E128" i="3" s="1"/>
  <c r="C129" i="3" s="1"/>
  <c r="T128" i="3"/>
  <c r="M172" i="3"/>
  <c r="N172" i="3" s="1"/>
  <c r="L173" i="3" s="1"/>
  <c r="O129" i="3" l="1"/>
  <c r="L14" i="2"/>
  <c r="L15" i="2" s="1"/>
  <c r="U128" i="3"/>
  <c r="D129" i="3"/>
  <c r="E129" i="3" s="1"/>
  <c r="C130" i="3" s="1"/>
  <c r="T129" i="3"/>
  <c r="M173" i="3"/>
  <c r="N173" i="3" s="1"/>
  <c r="L174" i="3" s="1"/>
  <c r="U129" i="3" l="1"/>
  <c r="O130" i="3"/>
  <c r="D130" i="3"/>
  <c r="E130" i="3" s="1"/>
  <c r="C131" i="3" s="1"/>
  <c r="T130" i="3"/>
  <c r="M174" i="3"/>
  <c r="N174" i="3" s="1"/>
  <c r="L175" i="3" s="1"/>
  <c r="U130" i="3" l="1"/>
  <c r="O131" i="3"/>
  <c r="D131" i="3"/>
  <c r="E131" i="3" s="1"/>
  <c r="C132" i="3" s="1"/>
  <c r="T131" i="3"/>
  <c r="M175" i="3"/>
  <c r="N175" i="3" s="1"/>
  <c r="L176" i="3" s="1"/>
  <c r="U131" i="3" l="1"/>
  <c r="O132" i="3"/>
  <c r="D132" i="3"/>
  <c r="E132" i="3" s="1"/>
  <c r="C133" i="3" s="1"/>
  <c r="T132" i="3"/>
  <c r="M176" i="3"/>
  <c r="N176" i="3" s="1"/>
  <c r="L177" i="3" s="1"/>
  <c r="U132" i="3" l="1"/>
  <c r="O133" i="3"/>
  <c r="D133" i="3"/>
  <c r="E133" i="3" s="1"/>
  <c r="C134" i="3" s="1"/>
  <c r="T133" i="3"/>
  <c r="M177" i="3"/>
  <c r="N177" i="3" s="1"/>
  <c r="L178" i="3" s="1"/>
  <c r="U133" i="3" l="1"/>
  <c r="O134" i="3"/>
  <c r="D134" i="3"/>
  <c r="E134" i="3" s="1"/>
  <c r="C135" i="3" s="1"/>
  <c r="T134" i="3"/>
  <c r="M178" i="3"/>
  <c r="N178" i="3" s="1"/>
  <c r="L179" i="3" s="1"/>
  <c r="U134" i="3" l="1"/>
  <c r="O135" i="3"/>
  <c r="D135" i="3"/>
  <c r="E135" i="3" s="1"/>
  <c r="C136" i="3" s="1"/>
  <c r="T135" i="3"/>
  <c r="M179" i="3"/>
  <c r="N179" i="3" s="1"/>
  <c r="L180" i="3" s="1"/>
  <c r="U135" i="3" l="1"/>
  <c r="O136" i="3"/>
  <c r="D136" i="3"/>
  <c r="E136" i="3" s="1"/>
  <c r="C137" i="3" s="1"/>
  <c r="T136" i="3"/>
  <c r="M180" i="3"/>
  <c r="N180" i="3" s="1"/>
  <c r="L181" i="3" s="1"/>
  <c r="U136" i="3" l="1"/>
  <c r="O137" i="3"/>
  <c r="D137" i="3"/>
  <c r="E137" i="3" s="1"/>
  <c r="C138" i="3" s="1"/>
  <c r="T137" i="3"/>
  <c r="M181" i="3"/>
  <c r="N181" i="3" s="1"/>
  <c r="L182" i="3" s="1"/>
  <c r="U137" i="3" l="1"/>
  <c r="O138" i="3"/>
  <c r="D138" i="3"/>
  <c r="E138" i="3" s="1"/>
  <c r="C139" i="3" s="1"/>
  <c r="T138" i="3"/>
  <c r="M182" i="3"/>
  <c r="N182" i="3" s="1"/>
  <c r="L183" i="3" s="1"/>
  <c r="U138" i="3" l="1"/>
  <c r="O139" i="3"/>
  <c r="D139" i="3"/>
  <c r="E139" i="3" s="1"/>
  <c r="C140" i="3" s="1"/>
  <c r="T139" i="3"/>
  <c r="M183" i="3"/>
  <c r="N183" i="3" s="1"/>
  <c r="L184" i="3" s="1"/>
  <c r="U139" i="3" l="1"/>
  <c r="O140" i="3"/>
  <c r="D140" i="3"/>
  <c r="E140" i="3" s="1"/>
  <c r="C141" i="3" s="1"/>
  <c r="T140" i="3"/>
  <c r="M184" i="3"/>
  <c r="N184" i="3" s="1"/>
  <c r="L185" i="3" s="1"/>
  <c r="U140" i="3" l="1"/>
  <c r="O141" i="3"/>
  <c r="D141" i="3"/>
  <c r="E141" i="3" s="1"/>
  <c r="C142" i="3" s="1"/>
  <c r="T141" i="3"/>
  <c r="M185" i="3"/>
  <c r="N185" i="3" s="1"/>
  <c r="L186" i="3" s="1"/>
  <c r="U141" i="3" l="1"/>
  <c r="O142" i="3"/>
  <c r="D142" i="3"/>
  <c r="E142" i="3" s="1"/>
  <c r="C143" i="3" s="1"/>
  <c r="T142" i="3"/>
  <c r="M186" i="3"/>
  <c r="N186" i="3" s="1"/>
  <c r="L187" i="3" s="1"/>
  <c r="M13" i="2" s="1"/>
  <c r="U142" i="3" l="1"/>
  <c r="O143" i="3"/>
  <c r="D143" i="3"/>
  <c r="E143" i="3" s="1"/>
  <c r="C144" i="3" s="1"/>
  <c r="T143" i="3"/>
  <c r="M187" i="3"/>
  <c r="N187" i="3" s="1"/>
  <c r="L188" i="3" s="1"/>
  <c r="U143" i="3" l="1"/>
  <c r="O144" i="3"/>
  <c r="D144" i="3"/>
  <c r="E144" i="3" s="1"/>
  <c r="C145" i="3" s="1"/>
  <c r="T144" i="3"/>
  <c r="M188" i="3"/>
  <c r="N188" i="3" s="1"/>
  <c r="L189" i="3" s="1"/>
  <c r="U144" i="3" l="1"/>
  <c r="O145" i="3"/>
  <c r="D145" i="3"/>
  <c r="E145" i="3" s="1"/>
  <c r="C146" i="3" s="1"/>
  <c r="T145" i="3"/>
  <c r="M189" i="3"/>
  <c r="N189" i="3" s="1"/>
  <c r="L190" i="3" s="1"/>
  <c r="U145" i="3" l="1"/>
  <c r="O146" i="3"/>
  <c r="D146" i="3"/>
  <c r="E146" i="3" s="1"/>
  <c r="C147" i="3" s="1"/>
  <c r="T146" i="3"/>
  <c r="M190" i="3"/>
  <c r="N190" i="3" s="1"/>
  <c r="L191" i="3" s="1"/>
  <c r="U146" i="3" l="1"/>
  <c r="O147" i="3"/>
  <c r="D147" i="3"/>
  <c r="E147" i="3" s="1"/>
  <c r="C148" i="3" s="1"/>
  <c r="T147" i="3"/>
  <c r="M191" i="3"/>
  <c r="N191" i="3" s="1"/>
  <c r="L192" i="3" s="1"/>
  <c r="U147" i="3" l="1"/>
  <c r="O148" i="3"/>
  <c r="D148" i="3"/>
  <c r="E148" i="3" s="1"/>
  <c r="C149" i="3" s="1"/>
  <c r="T148" i="3"/>
  <c r="M192" i="3"/>
  <c r="N192" i="3" s="1"/>
  <c r="L193" i="3" s="1"/>
  <c r="U148" i="3" l="1"/>
  <c r="O149" i="3"/>
  <c r="D149" i="3"/>
  <c r="E149" i="3" s="1"/>
  <c r="C150" i="3" s="1"/>
  <c r="T149" i="3"/>
  <c r="M193" i="3"/>
  <c r="N193" i="3" s="1"/>
  <c r="L194" i="3" s="1"/>
  <c r="U149" i="3" l="1"/>
  <c r="O150" i="3"/>
  <c r="D150" i="3"/>
  <c r="E150" i="3" s="1"/>
  <c r="C151" i="3" s="1"/>
  <c r="T150" i="3"/>
  <c r="M194" i="3"/>
  <c r="N194" i="3" s="1"/>
  <c r="L195" i="3" s="1"/>
  <c r="U150" i="3" l="1"/>
  <c r="O151" i="3"/>
  <c r="D151" i="3"/>
  <c r="E151" i="3" s="1"/>
  <c r="C152" i="3" s="1"/>
  <c r="T151" i="3"/>
  <c r="M195" i="3"/>
  <c r="N195" i="3" s="1"/>
  <c r="L196" i="3" s="1"/>
  <c r="U151" i="3" l="1"/>
  <c r="O152" i="3"/>
  <c r="D152" i="3"/>
  <c r="E152" i="3" s="1"/>
  <c r="C153" i="3" s="1"/>
  <c r="T152" i="3"/>
  <c r="M196" i="3"/>
  <c r="N196" i="3" s="1"/>
  <c r="L197" i="3" s="1"/>
  <c r="U152" i="3" l="1"/>
  <c r="O153" i="3"/>
  <c r="D153" i="3"/>
  <c r="E153" i="3" s="1"/>
  <c r="C154" i="3" s="1"/>
  <c r="T153" i="3"/>
  <c r="M197" i="3"/>
  <c r="N197" i="3" s="1"/>
  <c r="L198" i="3" s="1"/>
  <c r="U153" i="3" l="1"/>
  <c r="O154" i="3"/>
  <c r="D154" i="3"/>
  <c r="E154" i="3" s="1"/>
  <c r="C155" i="3" s="1"/>
  <c r="T154" i="3"/>
  <c r="M198" i="3"/>
  <c r="N198" i="3" s="1"/>
  <c r="L199" i="3" s="1"/>
  <c r="U154" i="3" l="1"/>
  <c r="O155" i="3"/>
  <c r="D155" i="3"/>
  <c r="E155" i="3" s="1"/>
  <c r="C156" i="3" s="1"/>
  <c r="T155" i="3"/>
  <c r="M199" i="3"/>
  <c r="N199" i="3" s="1"/>
  <c r="L200" i="3" s="1"/>
  <c r="U155" i="3" l="1"/>
  <c r="O156" i="3"/>
  <c r="D156" i="3"/>
  <c r="E156" i="3" s="1"/>
  <c r="C157" i="3" s="1"/>
  <c r="T156" i="3"/>
  <c r="M200" i="3"/>
  <c r="N200" i="3" s="1"/>
  <c r="L201" i="3" s="1"/>
  <c r="U156" i="3" l="1"/>
  <c r="O157" i="3"/>
  <c r="D157" i="3"/>
  <c r="E157" i="3" s="1"/>
  <c r="C158" i="3" s="1"/>
  <c r="T157" i="3"/>
  <c r="M201" i="3"/>
  <c r="N201" i="3" s="1"/>
  <c r="L202" i="3" s="1"/>
  <c r="U157" i="3" l="1"/>
  <c r="O158" i="3"/>
  <c r="D158" i="3"/>
  <c r="E158" i="3" s="1"/>
  <c r="C159" i="3" s="1"/>
  <c r="T158" i="3"/>
  <c r="M202" i="3"/>
  <c r="N202" i="3" s="1"/>
  <c r="L203" i="3" s="1"/>
  <c r="U158" i="3" l="1"/>
  <c r="O159" i="3"/>
  <c r="D159" i="3"/>
  <c r="E159" i="3" s="1"/>
  <c r="C160" i="3" s="1"/>
  <c r="T159" i="3"/>
  <c r="M203" i="3"/>
  <c r="N203" i="3" s="1"/>
  <c r="L204" i="3" s="1"/>
  <c r="U159" i="3" l="1"/>
  <c r="O160" i="3"/>
  <c r="D160" i="3"/>
  <c r="E160" i="3" s="1"/>
  <c r="C161" i="3" s="1"/>
  <c r="T160" i="3"/>
  <c r="M204" i="3"/>
  <c r="N204" i="3" s="1"/>
  <c r="L205" i="3" s="1"/>
  <c r="U160" i="3" l="1"/>
  <c r="O161" i="3"/>
  <c r="D161" i="3"/>
  <c r="E161" i="3" s="1"/>
  <c r="C162" i="3" s="1"/>
  <c r="T161" i="3"/>
  <c r="M205" i="3"/>
  <c r="N205" i="3" s="1"/>
  <c r="L206" i="3" s="1"/>
  <c r="U161" i="3" l="1"/>
  <c r="O162" i="3"/>
  <c r="D162" i="3"/>
  <c r="E162" i="3" s="1"/>
  <c r="C163" i="3" s="1"/>
  <c r="T162" i="3"/>
  <c r="M206" i="3"/>
  <c r="N206" i="3" s="1"/>
  <c r="L207" i="3" s="1"/>
  <c r="U162" i="3" l="1"/>
  <c r="O163" i="3"/>
  <c r="D163" i="3"/>
  <c r="E163" i="3" s="1"/>
  <c r="C164" i="3" s="1"/>
  <c r="T163" i="3"/>
  <c r="M207" i="3"/>
  <c r="N207" i="3" s="1"/>
  <c r="L208" i="3" s="1"/>
  <c r="U163" i="3" l="1"/>
  <c r="O164" i="3"/>
  <c r="D164" i="3"/>
  <c r="E164" i="3" s="1"/>
  <c r="C165" i="3" s="1"/>
  <c r="T164" i="3"/>
  <c r="M208" i="3"/>
  <c r="N208" i="3" s="1"/>
  <c r="L209" i="3" s="1"/>
  <c r="U164" i="3" l="1"/>
  <c r="O165" i="3"/>
  <c r="D165" i="3"/>
  <c r="E165" i="3" s="1"/>
  <c r="C166" i="3" s="1"/>
  <c r="T165" i="3"/>
  <c r="M209" i="3"/>
  <c r="N209" i="3" s="1"/>
  <c r="L210" i="3" s="1"/>
  <c r="U165" i="3" l="1"/>
  <c r="O166" i="3"/>
  <c r="D166" i="3"/>
  <c r="E166" i="3" s="1"/>
  <c r="C167" i="3" s="1"/>
  <c r="T166" i="3"/>
  <c r="M210" i="3"/>
  <c r="N210" i="3" s="1"/>
  <c r="L211" i="3" s="1"/>
  <c r="U166" i="3" l="1"/>
  <c r="O167" i="3"/>
  <c r="D167" i="3"/>
  <c r="E167" i="3" s="1"/>
  <c r="C168" i="3" s="1"/>
  <c r="T167" i="3"/>
  <c r="M211" i="3"/>
  <c r="N211" i="3" s="1"/>
  <c r="L212" i="3" s="1"/>
  <c r="U167" i="3" l="1"/>
  <c r="O168" i="3"/>
  <c r="D168" i="3"/>
  <c r="E168" i="3" s="1"/>
  <c r="C169" i="3" s="1"/>
  <c r="T168" i="3"/>
  <c r="M212" i="3"/>
  <c r="N212" i="3" s="1"/>
  <c r="L213" i="3" s="1"/>
  <c r="U168" i="3" l="1"/>
  <c r="O169" i="3"/>
  <c r="D169" i="3"/>
  <c r="E169" i="3" s="1"/>
  <c r="C170" i="3" s="1"/>
  <c r="T169" i="3"/>
  <c r="M213" i="3"/>
  <c r="N213" i="3" s="1"/>
  <c r="L214" i="3" s="1"/>
  <c r="U169" i="3" l="1"/>
  <c r="O170" i="3"/>
  <c r="D170" i="3"/>
  <c r="E170" i="3" s="1"/>
  <c r="C171" i="3" s="1"/>
  <c r="T170" i="3"/>
  <c r="M214" i="3"/>
  <c r="N214" i="3" s="1"/>
  <c r="L215" i="3" s="1"/>
  <c r="U170" i="3" l="1"/>
  <c r="O171" i="3"/>
  <c r="D171" i="3"/>
  <c r="E171" i="3" s="1"/>
  <c r="C172" i="3" s="1"/>
  <c r="T171" i="3"/>
  <c r="M215" i="3"/>
  <c r="N215" i="3" s="1"/>
  <c r="L216" i="3" s="1"/>
  <c r="U171" i="3" l="1"/>
  <c r="O172" i="3"/>
  <c r="D172" i="3"/>
  <c r="E172" i="3" s="1"/>
  <c r="C173" i="3" s="1"/>
  <c r="T172" i="3"/>
  <c r="M216" i="3"/>
  <c r="N216" i="3" s="1"/>
  <c r="L217" i="3" s="1"/>
  <c r="U172" i="3" l="1"/>
  <c r="O173" i="3"/>
  <c r="D173" i="3"/>
  <c r="E173" i="3" s="1"/>
  <c r="C174" i="3" s="1"/>
  <c r="T173" i="3"/>
  <c r="M217" i="3"/>
  <c r="N217" i="3" s="1"/>
  <c r="L218" i="3" s="1"/>
  <c r="U173" i="3" l="1"/>
  <c r="O174" i="3"/>
  <c r="D174" i="3"/>
  <c r="E174" i="3" s="1"/>
  <c r="C175" i="3" s="1"/>
  <c r="T174" i="3"/>
  <c r="M218" i="3"/>
  <c r="N218" i="3" s="1"/>
  <c r="L219" i="3" s="1"/>
  <c r="U174" i="3" l="1"/>
  <c r="O175" i="3"/>
  <c r="D175" i="3"/>
  <c r="E175" i="3" s="1"/>
  <c r="C176" i="3" s="1"/>
  <c r="T175" i="3"/>
  <c r="M219" i="3"/>
  <c r="N219" i="3" s="1"/>
  <c r="L220" i="3" s="1"/>
  <c r="U175" i="3" l="1"/>
  <c r="O176" i="3"/>
  <c r="D176" i="3"/>
  <c r="E176" i="3" s="1"/>
  <c r="C177" i="3" s="1"/>
  <c r="T176" i="3"/>
  <c r="M220" i="3"/>
  <c r="N220" i="3" s="1"/>
  <c r="L221" i="3" s="1"/>
  <c r="U176" i="3" l="1"/>
  <c r="O177" i="3"/>
  <c r="D177" i="3"/>
  <c r="E177" i="3" s="1"/>
  <c r="C178" i="3" s="1"/>
  <c r="T177" i="3"/>
  <c r="M221" i="3"/>
  <c r="N221" i="3" s="1"/>
  <c r="L222" i="3" s="1"/>
  <c r="U177" i="3" l="1"/>
  <c r="O178" i="3"/>
  <c r="D178" i="3"/>
  <c r="E178" i="3" s="1"/>
  <c r="C179" i="3" s="1"/>
  <c r="T178" i="3"/>
  <c r="M222" i="3"/>
  <c r="N222" i="3" s="1"/>
  <c r="L223" i="3" s="1"/>
  <c r="U178" i="3" l="1"/>
  <c r="O179" i="3"/>
  <c r="D179" i="3"/>
  <c r="E179" i="3" s="1"/>
  <c r="C180" i="3" s="1"/>
  <c r="T179" i="3"/>
  <c r="M223" i="3"/>
  <c r="N223" i="3" s="1"/>
  <c r="L224" i="3" s="1"/>
  <c r="U179" i="3" l="1"/>
  <c r="O180" i="3"/>
  <c r="D180" i="3"/>
  <c r="E180" i="3" s="1"/>
  <c r="C181" i="3" s="1"/>
  <c r="T180" i="3"/>
  <c r="M224" i="3"/>
  <c r="N224" i="3" s="1"/>
  <c r="L225" i="3" s="1"/>
  <c r="U180" i="3" l="1"/>
  <c r="O181" i="3"/>
  <c r="D181" i="3"/>
  <c r="E181" i="3" s="1"/>
  <c r="C182" i="3" s="1"/>
  <c r="T181" i="3"/>
  <c r="M225" i="3"/>
  <c r="N225" i="3" s="1"/>
  <c r="L226" i="3" s="1"/>
  <c r="U181" i="3" l="1"/>
  <c r="O182" i="3"/>
  <c r="D182" i="3"/>
  <c r="E182" i="3" s="1"/>
  <c r="C183" i="3" s="1"/>
  <c r="T182" i="3"/>
  <c r="M226" i="3"/>
  <c r="N226" i="3" s="1"/>
  <c r="L227" i="3" s="1"/>
  <c r="U182" i="3" l="1"/>
  <c r="O183" i="3"/>
  <c r="D183" i="3"/>
  <c r="E183" i="3" s="1"/>
  <c r="C184" i="3" s="1"/>
  <c r="T183" i="3"/>
  <c r="M9" i="2"/>
  <c r="M227" i="3"/>
  <c r="N227" i="3" s="1"/>
  <c r="L228" i="3" s="1"/>
  <c r="U183" i="3" l="1"/>
  <c r="O184" i="3"/>
  <c r="D184" i="3"/>
  <c r="E184" i="3" s="1"/>
  <c r="C185" i="3" s="1"/>
  <c r="T184" i="3"/>
  <c r="M228" i="3"/>
  <c r="N228" i="3" s="1"/>
  <c r="L229" i="3" s="1"/>
  <c r="U184" i="3" l="1"/>
  <c r="O185" i="3"/>
  <c r="D185" i="3"/>
  <c r="E185" i="3" s="1"/>
  <c r="C186" i="3" s="1"/>
  <c r="T185" i="3"/>
  <c r="M229" i="3"/>
  <c r="N229" i="3" s="1"/>
  <c r="L230" i="3" s="1"/>
  <c r="U185" i="3" l="1"/>
  <c r="O186" i="3"/>
  <c r="D186" i="3"/>
  <c r="E186" i="3" s="1"/>
  <c r="C187" i="3" s="1"/>
  <c r="T186" i="3"/>
  <c r="M230" i="3"/>
  <c r="N230" i="3" s="1"/>
  <c r="L231" i="3" s="1"/>
  <c r="U186" i="3" l="1"/>
  <c r="O187" i="3"/>
  <c r="D187" i="3"/>
  <c r="E187" i="3" s="1"/>
  <c r="C188" i="3" s="1"/>
  <c r="T187" i="3"/>
  <c r="M231" i="3"/>
  <c r="N231" i="3" s="1"/>
  <c r="L232" i="3" s="1"/>
  <c r="U187" i="3" l="1"/>
  <c r="O188" i="3"/>
  <c r="D188" i="3"/>
  <c r="E188" i="3" s="1"/>
  <c r="C189" i="3" s="1"/>
  <c r="T188" i="3"/>
  <c r="M232" i="3"/>
  <c r="N232" i="3" s="1"/>
  <c r="L233" i="3" s="1"/>
  <c r="O189" i="3" l="1"/>
  <c r="M14" i="2"/>
  <c r="M15" i="2" s="1"/>
  <c r="U188" i="3"/>
  <c r="D189" i="3"/>
  <c r="E189" i="3" s="1"/>
  <c r="C190" i="3" s="1"/>
  <c r="T189" i="3"/>
  <c r="M233" i="3"/>
  <c r="N233" i="3" s="1"/>
  <c r="L234" i="3" s="1"/>
  <c r="U189" i="3" l="1"/>
  <c r="O190" i="3"/>
  <c r="D190" i="3"/>
  <c r="E190" i="3" s="1"/>
  <c r="C191" i="3" s="1"/>
  <c r="T190" i="3"/>
  <c r="M234" i="3"/>
  <c r="N234" i="3" s="1"/>
  <c r="L235" i="3" s="1"/>
  <c r="U190" i="3" l="1"/>
  <c r="O191" i="3"/>
  <c r="D191" i="3"/>
  <c r="E191" i="3" s="1"/>
  <c r="C192" i="3" s="1"/>
  <c r="T191" i="3"/>
  <c r="M235" i="3"/>
  <c r="N235" i="3" s="1"/>
  <c r="L236" i="3" s="1"/>
  <c r="U191" i="3" l="1"/>
  <c r="O192" i="3"/>
  <c r="D192" i="3"/>
  <c r="E192" i="3" s="1"/>
  <c r="C193" i="3" s="1"/>
  <c r="T192" i="3"/>
  <c r="M236" i="3"/>
  <c r="N236" i="3" s="1"/>
  <c r="L237" i="3" s="1"/>
  <c r="U192" i="3" l="1"/>
  <c r="O193" i="3"/>
  <c r="D193" i="3"/>
  <c r="E193" i="3" s="1"/>
  <c r="C194" i="3" s="1"/>
  <c r="T193" i="3"/>
  <c r="M237" i="3"/>
  <c r="N237" i="3" s="1"/>
  <c r="L238" i="3" s="1"/>
  <c r="U193" i="3" l="1"/>
  <c r="O194" i="3"/>
  <c r="D194" i="3"/>
  <c r="E194" i="3" s="1"/>
  <c r="C195" i="3" s="1"/>
  <c r="T194" i="3"/>
  <c r="M238" i="3"/>
  <c r="N238" i="3" s="1"/>
  <c r="L239" i="3" s="1"/>
  <c r="U194" i="3" l="1"/>
  <c r="O195" i="3"/>
  <c r="D195" i="3"/>
  <c r="E195" i="3" s="1"/>
  <c r="C196" i="3" s="1"/>
  <c r="T195" i="3"/>
  <c r="M239" i="3"/>
  <c r="N239" i="3" s="1"/>
  <c r="L240" i="3" s="1"/>
  <c r="U195" i="3" l="1"/>
  <c r="O196" i="3"/>
  <c r="D196" i="3"/>
  <c r="E196" i="3" s="1"/>
  <c r="C197" i="3" s="1"/>
  <c r="T196" i="3"/>
  <c r="M240" i="3"/>
  <c r="N240" i="3" s="1"/>
  <c r="L241" i="3" s="1"/>
  <c r="U196" i="3" l="1"/>
  <c r="O197" i="3"/>
  <c r="D197" i="3"/>
  <c r="E197" i="3" s="1"/>
  <c r="C198" i="3" s="1"/>
  <c r="T197" i="3"/>
  <c r="M241" i="3"/>
  <c r="N241" i="3" s="1"/>
  <c r="L242" i="3" s="1"/>
  <c r="U197" i="3" l="1"/>
  <c r="O198" i="3"/>
  <c r="D198" i="3"/>
  <c r="E198" i="3" s="1"/>
  <c r="C199" i="3" s="1"/>
  <c r="T198" i="3"/>
  <c r="M242" i="3"/>
  <c r="N242" i="3" s="1"/>
  <c r="L243" i="3" s="1"/>
  <c r="U198" i="3" l="1"/>
  <c r="O199" i="3"/>
  <c r="D199" i="3"/>
  <c r="E199" i="3" s="1"/>
  <c r="C200" i="3" s="1"/>
  <c r="T199" i="3"/>
  <c r="M243" i="3"/>
  <c r="N243" i="3" s="1"/>
  <c r="L244" i="3" s="1"/>
  <c r="U199" i="3" l="1"/>
  <c r="O200" i="3"/>
  <c r="D200" i="3"/>
  <c r="E200" i="3" s="1"/>
  <c r="C201" i="3" s="1"/>
  <c r="T200" i="3"/>
  <c r="M244" i="3"/>
  <c r="N244" i="3" s="1"/>
  <c r="L245" i="3" s="1"/>
  <c r="U200" i="3" l="1"/>
  <c r="O201" i="3"/>
  <c r="D201" i="3"/>
  <c r="E201" i="3" s="1"/>
  <c r="C202" i="3" s="1"/>
  <c r="T201" i="3"/>
  <c r="M245" i="3"/>
  <c r="N245" i="3" s="1"/>
  <c r="L246" i="3" s="1"/>
  <c r="U201" i="3" l="1"/>
  <c r="O202" i="3"/>
  <c r="D202" i="3"/>
  <c r="E202" i="3" s="1"/>
  <c r="C203" i="3" s="1"/>
  <c r="T202" i="3"/>
  <c r="M246" i="3"/>
  <c r="N246" i="3" s="1"/>
  <c r="L247" i="3" s="1"/>
  <c r="N13" i="2" s="1"/>
  <c r="U202" i="3" l="1"/>
  <c r="O203" i="3"/>
  <c r="D203" i="3"/>
  <c r="E203" i="3" s="1"/>
  <c r="C204" i="3" s="1"/>
  <c r="T203" i="3"/>
  <c r="M247" i="3"/>
  <c r="N247" i="3" s="1"/>
  <c r="L248" i="3" s="1"/>
  <c r="U203" i="3" l="1"/>
  <c r="O204" i="3"/>
  <c r="D204" i="3"/>
  <c r="E204" i="3" s="1"/>
  <c r="C205" i="3" s="1"/>
  <c r="T204" i="3"/>
  <c r="M248" i="3"/>
  <c r="N248" i="3" s="1"/>
  <c r="L249" i="3" s="1"/>
  <c r="U204" i="3" l="1"/>
  <c r="O205" i="3"/>
  <c r="D205" i="3"/>
  <c r="E205" i="3" s="1"/>
  <c r="C206" i="3" s="1"/>
  <c r="T205" i="3"/>
  <c r="M249" i="3"/>
  <c r="N249" i="3" s="1"/>
  <c r="L250" i="3" s="1"/>
  <c r="U205" i="3" l="1"/>
  <c r="O206" i="3"/>
  <c r="D206" i="3"/>
  <c r="E206" i="3" s="1"/>
  <c r="C207" i="3" s="1"/>
  <c r="T206" i="3"/>
  <c r="M250" i="3"/>
  <c r="N250" i="3" s="1"/>
  <c r="L251" i="3" s="1"/>
  <c r="U206" i="3" l="1"/>
  <c r="O207" i="3"/>
  <c r="D207" i="3"/>
  <c r="E207" i="3" s="1"/>
  <c r="C208" i="3" s="1"/>
  <c r="T207" i="3"/>
  <c r="M251" i="3"/>
  <c r="N251" i="3" s="1"/>
  <c r="L252" i="3" s="1"/>
  <c r="U207" i="3" l="1"/>
  <c r="O208" i="3"/>
  <c r="D208" i="3"/>
  <c r="E208" i="3" s="1"/>
  <c r="C209" i="3" s="1"/>
  <c r="T208" i="3"/>
  <c r="M252" i="3"/>
  <c r="N252" i="3" s="1"/>
  <c r="L253" i="3" s="1"/>
  <c r="U208" i="3" l="1"/>
  <c r="O209" i="3"/>
  <c r="D209" i="3"/>
  <c r="E209" i="3" s="1"/>
  <c r="C210" i="3" s="1"/>
  <c r="T209" i="3"/>
  <c r="M253" i="3"/>
  <c r="N253" i="3" s="1"/>
  <c r="L254" i="3" s="1"/>
  <c r="U209" i="3" l="1"/>
  <c r="O210" i="3"/>
  <c r="D210" i="3"/>
  <c r="E210" i="3" s="1"/>
  <c r="C211" i="3" s="1"/>
  <c r="T210" i="3"/>
  <c r="M254" i="3"/>
  <c r="N254" i="3" s="1"/>
  <c r="L255" i="3" s="1"/>
  <c r="U210" i="3" l="1"/>
  <c r="O211" i="3"/>
  <c r="D211" i="3"/>
  <c r="E211" i="3" s="1"/>
  <c r="C212" i="3" s="1"/>
  <c r="T211" i="3"/>
  <c r="M255" i="3"/>
  <c r="N255" i="3" s="1"/>
  <c r="L256" i="3" s="1"/>
  <c r="U211" i="3" l="1"/>
  <c r="O212" i="3"/>
  <c r="D212" i="3"/>
  <c r="E212" i="3" s="1"/>
  <c r="C213" i="3" s="1"/>
  <c r="T212" i="3"/>
  <c r="M256" i="3"/>
  <c r="N256" i="3" s="1"/>
  <c r="L257" i="3" s="1"/>
  <c r="U212" i="3" l="1"/>
  <c r="O213" i="3"/>
  <c r="D213" i="3"/>
  <c r="E213" i="3" s="1"/>
  <c r="C214" i="3" s="1"/>
  <c r="T213" i="3"/>
  <c r="M257" i="3"/>
  <c r="N257" i="3" s="1"/>
  <c r="L258" i="3" s="1"/>
  <c r="U213" i="3" l="1"/>
  <c r="O214" i="3"/>
  <c r="D214" i="3"/>
  <c r="E214" i="3" s="1"/>
  <c r="C215" i="3" s="1"/>
  <c r="T214" i="3"/>
  <c r="M258" i="3"/>
  <c r="N258" i="3" s="1"/>
  <c r="L259" i="3" s="1"/>
  <c r="U214" i="3" l="1"/>
  <c r="O215" i="3"/>
  <c r="D215" i="3"/>
  <c r="E215" i="3" s="1"/>
  <c r="C216" i="3" s="1"/>
  <c r="T215" i="3"/>
  <c r="M259" i="3"/>
  <c r="N259" i="3" s="1"/>
  <c r="L260" i="3" s="1"/>
  <c r="U215" i="3" l="1"/>
  <c r="O216" i="3"/>
  <c r="D216" i="3"/>
  <c r="E216" i="3" s="1"/>
  <c r="C217" i="3" s="1"/>
  <c r="T216" i="3"/>
  <c r="M260" i="3"/>
  <c r="N260" i="3" s="1"/>
  <c r="L261" i="3" s="1"/>
  <c r="U216" i="3" l="1"/>
  <c r="O217" i="3"/>
  <c r="D217" i="3"/>
  <c r="E217" i="3" s="1"/>
  <c r="C218" i="3" s="1"/>
  <c r="T217" i="3"/>
  <c r="M261" i="3"/>
  <c r="N261" i="3" s="1"/>
  <c r="L262" i="3" s="1"/>
  <c r="U217" i="3" l="1"/>
  <c r="O218" i="3"/>
  <c r="D218" i="3"/>
  <c r="E218" i="3" s="1"/>
  <c r="C219" i="3" s="1"/>
  <c r="T218" i="3"/>
  <c r="M262" i="3"/>
  <c r="N262" i="3" s="1"/>
  <c r="L263" i="3" s="1"/>
  <c r="U218" i="3" l="1"/>
  <c r="O219" i="3"/>
  <c r="D219" i="3"/>
  <c r="E219" i="3" s="1"/>
  <c r="C220" i="3" s="1"/>
  <c r="T219" i="3"/>
  <c r="M263" i="3"/>
  <c r="N263" i="3" s="1"/>
  <c r="L264" i="3" s="1"/>
  <c r="U219" i="3" l="1"/>
  <c r="O220" i="3"/>
  <c r="D220" i="3"/>
  <c r="E220" i="3" s="1"/>
  <c r="C221" i="3" s="1"/>
  <c r="T220" i="3"/>
  <c r="M264" i="3"/>
  <c r="N264" i="3" s="1"/>
  <c r="L265" i="3" s="1"/>
  <c r="U220" i="3" l="1"/>
  <c r="O221" i="3"/>
  <c r="D221" i="3"/>
  <c r="E221" i="3" s="1"/>
  <c r="C222" i="3" s="1"/>
  <c r="T221" i="3"/>
  <c r="M265" i="3"/>
  <c r="N265" i="3" s="1"/>
  <c r="L266" i="3" s="1"/>
  <c r="U221" i="3" l="1"/>
  <c r="O222" i="3"/>
  <c r="D222" i="3"/>
  <c r="E222" i="3" s="1"/>
  <c r="C223" i="3" s="1"/>
  <c r="T222" i="3"/>
  <c r="M266" i="3"/>
  <c r="N266" i="3" s="1"/>
  <c r="L267" i="3" s="1"/>
  <c r="U222" i="3" l="1"/>
  <c r="O223" i="3"/>
  <c r="D223" i="3"/>
  <c r="E223" i="3" s="1"/>
  <c r="C224" i="3" s="1"/>
  <c r="T223" i="3"/>
  <c r="M267" i="3"/>
  <c r="N267" i="3" s="1"/>
  <c r="L268" i="3" s="1"/>
  <c r="U223" i="3" l="1"/>
  <c r="O224" i="3"/>
  <c r="D224" i="3"/>
  <c r="E224" i="3" s="1"/>
  <c r="C225" i="3" s="1"/>
  <c r="T224" i="3"/>
  <c r="M268" i="3"/>
  <c r="N268" i="3" s="1"/>
  <c r="L269" i="3" s="1"/>
  <c r="U224" i="3" l="1"/>
  <c r="O225" i="3"/>
  <c r="D225" i="3"/>
  <c r="E225" i="3" s="1"/>
  <c r="C226" i="3" s="1"/>
  <c r="T225" i="3"/>
  <c r="M269" i="3"/>
  <c r="N269" i="3" s="1"/>
  <c r="L270" i="3" s="1"/>
  <c r="U225" i="3" l="1"/>
  <c r="O226" i="3"/>
  <c r="D226" i="3"/>
  <c r="E226" i="3" s="1"/>
  <c r="C227" i="3" s="1"/>
  <c r="T226" i="3"/>
  <c r="M270" i="3"/>
  <c r="N270" i="3" s="1"/>
  <c r="L271" i="3" s="1"/>
  <c r="U226" i="3" l="1"/>
  <c r="O227" i="3"/>
  <c r="D227" i="3"/>
  <c r="E227" i="3" s="1"/>
  <c r="C228" i="3" s="1"/>
  <c r="T227" i="3"/>
  <c r="M271" i="3"/>
  <c r="N271" i="3" s="1"/>
  <c r="L272" i="3" s="1"/>
  <c r="U227" i="3" l="1"/>
  <c r="O228" i="3"/>
  <c r="D228" i="3"/>
  <c r="E228" i="3" s="1"/>
  <c r="C229" i="3" s="1"/>
  <c r="T228" i="3"/>
  <c r="M272" i="3"/>
  <c r="N272" i="3" s="1"/>
  <c r="L273" i="3" s="1"/>
  <c r="U228" i="3" l="1"/>
  <c r="O229" i="3"/>
  <c r="D229" i="3"/>
  <c r="E229" i="3" s="1"/>
  <c r="C230" i="3" s="1"/>
  <c r="T229" i="3"/>
  <c r="M273" i="3"/>
  <c r="N273" i="3" s="1"/>
  <c r="L274" i="3" s="1"/>
  <c r="U229" i="3" l="1"/>
  <c r="O230" i="3"/>
  <c r="D230" i="3"/>
  <c r="E230" i="3" s="1"/>
  <c r="C231" i="3" s="1"/>
  <c r="T230" i="3"/>
  <c r="M274" i="3"/>
  <c r="N274" i="3" s="1"/>
  <c r="L275" i="3" s="1"/>
  <c r="U230" i="3" l="1"/>
  <c r="O231" i="3"/>
  <c r="D231" i="3"/>
  <c r="E231" i="3" s="1"/>
  <c r="C232" i="3" s="1"/>
  <c r="T231" i="3"/>
  <c r="M275" i="3"/>
  <c r="N275" i="3" s="1"/>
  <c r="L276" i="3" s="1"/>
  <c r="U231" i="3" l="1"/>
  <c r="O232" i="3"/>
  <c r="D232" i="3"/>
  <c r="E232" i="3" s="1"/>
  <c r="C233" i="3" s="1"/>
  <c r="T232" i="3"/>
  <c r="M276" i="3"/>
  <c r="N276" i="3" s="1"/>
  <c r="L277" i="3" s="1"/>
  <c r="U232" i="3" l="1"/>
  <c r="O233" i="3"/>
  <c r="D233" i="3"/>
  <c r="E233" i="3" s="1"/>
  <c r="C234" i="3" s="1"/>
  <c r="T233" i="3"/>
  <c r="M277" i="3"/>
  <c r="N277" i="3" s="1"/>
  <c r="L278" i="3" s="1"/>
  <c r="U233" i="3" l="1"/>
  <c r="O234" i="3"/>
  <c r="D234" i="3"/>
  <c r="E234" i="3" s="1"/>
  <c r="C235" i="3" s="1"/>
  <c r="T234" i="3"/>
  <c r="M278" i="3"/>
  <c r="N278" i="3" s="1"/>
  <c r="L279" i="3" s="1"/>
  <c r="U234" i="3" l="1"/>
  <c r="O235" i="3"/>
  <c r="D235" i="3"/>
  <c r="E235" i="3" s="1"/>
  <c r="C236" i="3" s="1"/>
  <c r="T235" i="3"/>
  <c r="M279" i="3"/>
  <c r="N279" i="3" s="1"/>
  <c r="L280" i="3" s="1"/>
  <c r="U235" i="3" l="1"/>
  <c r="O236" i="3"/>
  <c r="D236" i="3"/>
  <c r="E236" i="3" s="1"/>
  <c r="C237" i="3" s="1"/>
  <c r="T236" i="3"/>
  <c r="M280" i="3"/>
  <c r="N280" i="3" s="1"/>
  <c r="L281" i="3" s="1"/>
  <c r="U236" i="3" l="1"/>
  <c r="O237" i="3"/>
  <c r="D237" i="3"/>
  <c r="E237" i="3" s="1"/>
  <c r="C238" i="3" s="1"/>
  <c r="T237" i="3"/>
  <c r="M281" i="3"/>
  <c r="N281" i="3" s="1"/>
  <c r="L282" i="3" s="1"/>
  <c r="U237" i="3" l="1"/>
  <c r="O238" i="3"/>
  <c r="D238" i="3"/>
  <c r="E238" i="3" s="1"/>
  <c r="C239" i="3" s="1"/>
  <c r="T238" i="3"/>
  <c r="M282" i="3"/>
  <c r="N282" i="3" s="1"/>
  <c r="L283" i="3" s="1"/>
  <c r="U238" i="3" l="1"/>
  <c r="O239" i="3"/>
  <c r="D239" i="3"/>
  <c r="E239" i="3" s="1"/>
  <c r="C240" i="3" s="1"/>
  <c r="T239" i="3"/>
  <c r="M283" i="3"/>
  <c r="N283" i="3" s="1"/>
  <c r="L284" i="3" s="1"/>
  <c r="U239" i="3" l="1"/>
  <c r="O240" i="3"/>
  <c r="D240" i="3"/>
  <c r="E240" i="3" s="1"/>
  <c r="C241" i="3" s="1"/>
  <c r="T240" i="3"/>
  <c r="M284" i="3"/>
  <c r="N284" i="3" s="1"/>
  <c r="L285" i="3" s="1"/>
  <c r="U240" i="3" l="1"/>
  <c r="O241" i="3"/>
  <c r="D241" i="3"/>
  <c r="E241" i="3" s="1"/>
  <c r="C242" i="3" s="1"/>
  <c r="T241" i="3"/>
  <c r="M285" i="3"/>
  <c r="N285" i="3" s="1"/>
  <c r="L286" i="3" s="1"/>
  <c r="U241" i="3" l="1"/>
  <c r="O242" i="3"/>
  <c r="D242" i="3"/>
  <c r="E242" i="3" s="1"/>
  <c r="C243" i="3" s="1"/>
  <c r="T242" i="3"/>
  <c r="M286" i="3"/>
  <c r="N286" i="3" s="1"/>
  <c r="L287" i="3" s="1"/>
  <c r="U242" i="3" l="1"/>
  <c r="O243" i="3"/>
  <c r="D243" i="3"/>
  <c r="E243" i="3" s="1"/>
  <c r="C244" i="3" s="1"/>
  <c r="T243" i="3"/>
  <c r="N9" i="2"/>
  <c r="M287" i="3"/>
  <c r="N287" i="3" s="1"/>
  <c r="L288" i="3" s="1"/>
  <c r="U243" i="3" l="1"/>
  <c r="O244" i="3"/>
  <c r="D244" i="3"/>
  <c r="E244" i="3" s="1"/>
  <c r="C245" i="3" s="1"/>
  <c r="T244" i="3"/>
  <c r="M288" i="3"/>
  <c r="N288" i="3" s="1"/>
  <c r="L289" i="3" s="1"/>
  <c r="U244" i="3" l="1"/>
  <c r="O245" i="3"/>
  <c r="D245" i="3"/>
  <c r="E245" i="3" s="1"/>
  <c r="C246" i="3" s="1"/>
  <c r="T245" i="3"/>
  <c r="M289" i="3"/>
  <c r="N289" i="3" s="1"/>
  <c r="L290" i="3" s="1"/>
  <c r="U245" i="3" l="1"/>
  <c r="O246" i="3"/>
  <c r="D246" i="3"/>
  <c r="E246" i="3" s="1"/>
  <c r="C247" i="3" s="1"/>
  <c r="T246" i="3"/>
  <c r="M290" i="3"/>
  <c r="N290" i="3" s="1"/>
  <c r="L291" i="3" s="1"/>
  <c r="U246" i="3" l="1"/>
  <c r="O247" i="3"/>
  <c r="D247" i="3"/>
  <c r="E247" i="3" s="1"/>
  <c r="C248" i="3" s="1"/>
  <c r="T247" i="3"/>
  <c r="M291" i="3"/>
  <c r="N291" i="3" s="1"/>
  <c r="L292" i="3" s="1"/>
  <c r="U247" i="3" l="1"/>
  <c r="O248" i="3"/>
  <c r="D248" i="3"/>
  <c r="E248" i="3" s="1"/>
  <c r="C249" i="3" s="1"/>
  <c r="T248" i="3"/>
  <c r="M292" i="3"/>
  <c r="N292" i="3" s="1"/>
  <c r="L293" i="3" s="1"/>
  <c r="O249" i="3" l="1"/>
  <c r="N14" i="2"/>
  <c r="N15" i="2" s="1"/>
  <c r="U248" i="3"/>
  <c r="D249" i="3"/>
  <c r="E249" i="3" s="1"/>
  <c r="C250" i="3" s="1"/>
  <c r="T249" i="3"/>
  <c r="M293" i="3"/>
  <c r="N293" i="3" s="1"/>
  <c r="L294" i="3" s="1"/>
  <c r="U249" i="3" l="1"/>
  <c r="O250" i="3"/>
  <c r="D250" i="3"/>
  <c r="E250" i="3" s="1"/>
  <c r="C251" i="3" s="1"/>
  <c r="T250" i="3"/>
  <c r="M294" i="3"/>
  <c r="N294" i="3" s="1"/>
  <c r="L295" i="3" s="1"/>
  <c r="U250" i="3" l="1"/>
  <c r="O251" i="3"/>
  <c r="D251" i="3"/>
  <c r="E251" i="3" s="1"/>
  <c r="C252" i="3" s="1"/>
  <c r="T251" i="3"/>
  <c r="M295" i="3"/>
  <c r="N295" i="3" s="1"/>
  <c r="L296" i="3" s="1"/>
  <c r="U251" i="3" l="1"/>
  <c r="O252" i="3"/>
  <c r="D252" i="3"/>
  <c r="E252" i="3" s="1"/>
  <c r="C253" i="3" s="1"/>
  <c r="T252" i="3"/>
  <c r="M296" i="3"/>
  <c r="N296" i="3" s="1"/>
  <c r="L297" i="3" s="1"/>
  <c r="U252" i="3" l="1"/>
  <c r="O253" i="3"/>
  <c r="D253" i="3"/>
  <c r="E253" i="3" s="1"/>
  <c r="C254" i="3" s="1"/>
  <c r="T253" i="3"/>
  <c r="M297" i="3"/>
  <c r="N297" i="3" s="1"/>
  <c r="L298" i="3" s="1"/>
  <c r="U253" i="3" l="1"/>
  <c r="O254" i="3"/>
  <c r="D254" i="3"/>
  <c r="E254" i="3" s="1"/>
  <c r="C255" i="3" s="1"/>
  <c r="T254" i="3"/>
  <c r="M298" i="3"/>
  <c r="N298" i="3" s="1"/>
  <c r="L299" i="3" s="1"/>
  <c r="U254" i="3" l="1"/>
  <c r="O255" i="3"/>
  <c r="D255" i="3"/>
  <c r="E255" i="3" s="1"/>
  <c r="C256" i="3" s="1"/>
  <c r="T255" i="3"/>
  <c r="M299" i="3"/>
  <c r="N299" i="3" s="1"/>
  <c r="L300" i="3" s="1"/>
  <c r="U255" i="3" l="1"/>
  <c r="O256" i="3"/>
  <c r="D256" i="3"/>
  <c r="E256" i="3" s="1"/>
  <c r="C257" i="3" s="1"/>
  <c r="T256" i="3"/>
  <c r="M300" i="3"/>
  <c r="N300" i="3" s="1"/>
  <c r="L301" i="3" s="1"/>
  <c r="U256" i="3" l="1"/>
  <c r="O257" i="3"/>
  <c r="D257" i="3"/>
  <c r="E257" i="3" s="1"/>
  <c r="C258" i="3" s="1"/>
  <c r="T257" i="3"/>
  <c r="M301" i="3"/>
  <c r="N301" i="3" s="1"/>
  <c r="L302" i="3" s="1"/>
  <c r="U257" i="3" l="1"/>
  <c r="O258" i="3"/>
  <c r="D258" i="3"/>
  <c r="E258" i="3" s="1"/>
  <c r="C259" i="3" s="1"/>
  <c r="T258" i="3"/>
  <c r="M302" i="3"/>
  <c r="N302" i="3" s="1"/>
  <c r="L303" i="3" s="1"/>
  <c r="U258" i="3" l="1"/>
  <c r="O259" i="3"/>
  <c r="D259" i="3"/>
  <c r="E259" i="3" s="1"/>
  <c r="C260" i="3" s="1"/>
  <c r="T259" i="3"/>
  <c r="M303" i="3"/>
  <c r="N303" i="3" s="1"/>
  <c r="L304" i="3" s="1"/>
  <c r="U259" i="3" l="1"/>
  <c r="O260" i="3"/>
  <c r="D260" i="3"/>
  <c r="E260" i="3" s="1"/>
  <c r="C261" i="3" s="1"/>
  <c r="T260" i="3"/>
  <c r="M304" i="3"/>
  <c r="N304" i="3" s="1"/>
  <c r="L305" i="3" s="1"/>
  <c r="U260" i="3" l="1"/>
  <c r="O261" i="3"/>
  <c r="D261" i="3"/>
  <c r="E261" i="3" s="1"/>
  <c r="C262" i="3" s="1"/>
  <c r="T261" i="3"/>
  <c r="M305" i="3"/>
  <c r="N305" i="3" s="1"/>
  <c r="L306" i="3" s="1"/>
  <c r="U261" i="3" l="1"/>
  <c r="O262" i="3"/>
  <c r="D262" i="3"/>
  <c r="E262" i="3" s="1"/>
  <c r="C263" i="3" s="1"/>
  <c r="T262" i="3"/>
  <c r="M306" i="3"/>
  <c r="N306" i="3" s="1"/>
  <c r="L307" i="3" s="1"/>
  <c r="O13" i="2" s="1"/>
  <c r="U262" i="3" l="1"/>
  <c r="O263" i="3"/>
  <c r="D263" i="3"/>
  <c r="E263" i="3" s="1"/>
  <c r="C264" i="3" s="1"/>
  <c r="T263" i="3"/>
  <c r="M307" i="3"/>
  <c r="N307" i="3" s="1"/>
  <c r="L308" i="3" s="1"/>
  <c r="U263" i="3" l="1"/>
  <c r="O264" i="3"/>
  <c r="D264" i="3"/>
  <c r="E264" i="3" s="1"/>
  <c r="C265" i="3" s="1"/>
  <c r="T264" i="3"/>
  <c r="M308" i="3"/>
  <c r="N308" i="3" s="1"/>
  <c r="L309" i="3" s="1"/>
  <c r="U264" i="3" l="1"/>
  <c r="O265" i="3"/>
  <c r="D265" i="3"/>
  <c r="E265" i="3" s="1"/>
  <c r="C266" i="3" s="1"/>
  <c r="T265" i="3"/>
  <c r="M309" i="3"/>
  <c r="N309" i="3" s="1"/>
  <c r="L310" i="3" s="1"/>
  <c r="U265" i="3" l="1"/>
  <c r="O266" i="3"/>
  <c r="D266" i="3"/>
  <c r="E266" i="3" s="1"/>
  <c r="C267" i="3" s="1"/>
  <c r="T266" i="3"/>
  <c r="M310" i="3"/>
  <c r="N310" i="3" s="1"/>
  <c r="L311" i="3" s="1"/>
  <c r="U266" i="3" l="1"/>
  <c r="O267" i="3"/>
  <c r="D267" i="3"/>
  <c r="E267" i="3" s="1"/>
  <c r="C268" i="3" s="1"/>
  <c r="T267" i="3"/>
  <c r="M311" i="3"/>
  <c r="N311" i="3" s="1"/>
  <c r="L312" i="3" s="1"/>
  <c r="U267" i="3" l="1"/>
  <c r="O268" i="3"/>
  <c r="D268" i="3"/>
  <c r="E268" i="3" s="1"/>
  <c r="C269" i="3" s="1"/>
  <c r="T268" i="3"/>
  <c r="M312" i="3"/>
  <c r="N312" i="3" s="1"/>
  <c r="L313" i="3" s="1"/>
  <c r="U268" i="3" l="1"/>
  <c r="O269" i="3"/>
  <c r="D269" i="3"/>
  <c r="E269" i="3" s="1"/>
  <c r="C270" i="3" s="1"/>
  <c r="T269" i="3"/>
  <c r="M313" i="3"/>
  <c r="N313" i="3" s="1"/>
  <c r="L314" i="3" s="1"/>
  <c r="U269" i="3" l="1"/>
  <c r="O270" i="3"/>
  <c r="D270" i="3"/>
  <c r="E270" i="3" s="1"/>
  <c r="C271" i="3" s="1"/>
  <c r="T270" i="3"/>
  <c r="M314" i="3"/>
  <c r="N314" i="3" s="1"/>
  <c r="L315" i="3" s="1"/>
  <c r="U270" i="3" l="1"/>
  <c r="O271" i="3"/>
  <c r="D271" i="3"/>
  <c r="E271" i="3" s="1"/>
  <c r="C272" i="3" s="1"/>
  <c r="T271" i="3"/>
  <c r="M315" i="3"/>
  <c r="N315" i="3" s="1"/>
  <c r="L316" i="3" s="1"/>
  <c r="U271" i="3" l="1"/>
  <c r="O272" i="3"/>
  <c r="D272" i="3"/>
  <c r="E272" i="3" s="1"/>
  <c r="C273" i="3" s="1"/>
  <c r="T272" i="3"/>
  <c r="M316" i="3"/>
  <c r="N316" i="3" s="1"/>
  <c r="L317" i="3" s="1"/>
  <c r="U272" i="3" l="1"/>
  <c r="O273" i="3"/>
  <c r="D273" i="3"/>
  <c r="E273" i="3" s="1"/>
  <c r="C274" i="3" s="1"/>
  <c r="T273" i="3"/>
  <c r="M317" i="3"/>
  <c r="N317" i="3" s="1"/>
  <c r="L318" i="3" s="1"/>
  <c r="U273" i="3" l="1"/>
  <c r="O274" i="3"/>
  <c r="D274" i="3"/>
  <c r="E274" i="3" s="1"/>
  <c r="C275" i="3" s="1"/>
  <c r="T274" i="3"/>
  <c r="M318" i="3"/>
  <c r="N318" i="3" s="1"/>
  <c r="L319" i="3" s="1"/>
  <c r="U274" i="3" l="1"/>
  <c r="O275" i="3"/>
  <c r="D275" i="3"/>
  <c r="E275" i="3" s="1"/>
  <c r="C276" i="3" s="1"/>
  <c r="T275" i="3"/>
  <c r="M319" i="3"/>
  <c r="N319" i="3" s="1"/>
  <c r="L320" i="3" s="1"/>
  <c r="U275" i="3" l="1"/>
  <c r="O276" i="3"/>
  <c r="D276" i="3"/>
  <c r="E276" i="3" s="1"/>
  <c r="C277" i="3" s="1"/>
  <c r="T276" i="3"/>
  <c r="M320" i="3"/>
  <c r="N320" i="3" s="1"/>
  <c r="L321" i="3" s="1"/>
  <c r="U276" i="3" l="1"/>
  <c r="O277" i="3"/>
  <c r="D277" i="3"/>
  <c r="E277" i="3" s="1"/>
  <c r="C278" i="3" s="1"/>
  <c r="T277" i="3"/>
  <c r="M321" i="3"/>
  <c r="N321" i="3" s="1"/>
  <c r="L322" i="3" s="1"/>
  <c r="U277" i="3" l="1"/>
  <c r="O278" i="3"/>
  <c r="D278" i="3"/>
  <c r="E278" i="3" s="1"/>
  <c r="C279" i="3" s="1"/>
  <c r="T278" i="3"/>
  <c r="M322" i="3"/>
  <c r="N322" i="3" s="1"/>
  <c r="L323" i="3" s="1"/>
  <c r="U278" i="3" l="1"/>
  <c r="O279" i="3"/>
  <c r="D279" i="3"/>
  <c r="E279" i="3" s="1"/>
  <c r="C280" i="3" s="1"/>
  <c r="T279" i="3"/>
  <c r="M323" i="3"/>
  <c r="N323" i="3" s="1"/>
  <c r="L324" i="3" s="1"/>
  <c r="U279" i="3" l="1"/>
  <c r="O280" i="3"/>
  <c r="D280" i="3"/>
  <c r="E280" i="3" s="1"/>
  <c r="C281" i="3" s="1"/>
  <c r="T280" i="3"/>
  <c r="M324" i="3"/>
  <c r="N324" i="3" s="1"/>
  <c r="L325" i="3" s="1"/>
  <c r="U280" i="3" l="1"/>
  <c r="O281" i="3"/>
  <c r="D281" i="3"/>
  <c r="E281" i="3" s="1"/>
  <c r="C282" i="3" s="1"/>
  <c r="T281" i="3"/>
  <c r="M325" i="3"/>
  <c r="N325" i="3" s="1"/>
  <c r="L326" i="3" s="1"/>
  <c r="U281" i="3" l="1"/>
  <c r="O282" i="3"/>
  <c r="D282" i="3"/>
  <c r="E282" i="3" s="1"/>
  <c r="C283" i="3" s="1"/>
  <c r="T282" i="3"/>
  <c r="M326" i="3"/>
  <c r="N326" i="3" s="1"/>
  <c r="L327" i="3" s="1"/>
  <c r="U282" i="3" l="1"/>
  <c r="O283" i="3"/>
  <c r="D283" i="3"/>
  <c r="E283" i="3" s="1"/>
  <c r="C284" i="3" s="1"/>
  <c r="T283" i="3"/>
  <c r="M327" i="3"/>
  <c r="N327" i="3" s="1"/>
  <c r="L328" i="3" s="1"/>
  <c r="U283" i="3" l="1"/>
  <c r="O284" i="3"/>
  <c r="D284" i="3"/>
  <c r="E284" i="3" s="1"/>
  <c r="C285" i="3" s="1"/>
  <c r="T284" i="3"/>
  <c r="M328" i="3"/>
  <c r="N328" i="3" s="1"/>
  <c r="L329" i="3" s="1"/>
  <c r="U284" i="3" l="1"/>
  <c r="O285" i="3"/>
  <c r="D285" i="3"/>
  <c r="E285" i="3" s="1"/>
  <c r="C286" i="3" s="1"/>
  <c r="T285" i="3"/>
  <c r="M329" i="3"/>
  <c r="N329" i="3" s="1"/>
  <c r="L330" i="3" s="1"/>
  <c r="U285" i="3" l="1"/>
  <c r="O286" i="3"/>
  <c r="D286" i="3"/>
  <c r="E286" i="3" s="1"/>
  <c r="C287" i="3" s="1"/>
  <c r="T286" i="3"/>
  <c r="M330" i="3"/>
  <c r="N330" i="3" s="1"/>
  <c r="L331" i="3" s="1"/>
  <c r="U286" i="3" l="1"/>
  <c r="O287" i="3"/>
  <c r="D287" i="3"/>
  <c r="E287" i="3" s="1"/>
  <c r="C288" i="3" s="1"/>
  <c r="T287" i="3"/>
  <c r="M331" i="3"/>
  <c r="N331" i="3" s="1"/>
  <c r="L332" i="3" s="1"/>
  <c r="U287" i="3" l="1"/>
  <c r="O288" i="3"/>
  <c r="D288" i="3"/>
  <c r="E288" i="3" s="1"/>
  <c r="C289" i="3" s="1"/>
  <c r="T288" i="3"/>
  <c r="M332" i="3"/>
  <c r="N332" i="3" s="1"/>
  <c r="L333" i="3" s="1"/>
  <c r="U288" i="3" l="1"/>
  <c r="O289" i="3"/>
  <c r="D289" i="3"/>
  <c r="E289" i="3" s="1"/>
  <c r="C290" i="3" s="1"/>
  <c r="T289" i="3"/>
  <c r="M333" i="3"/>
  <c r="N333" i="3" s="1"/>
  <c r="L334" i="3" s="1"/>
  <c r="U289" i="3" l="1"/>
  <c r="O290" i="3"/>
  <c r="D290" i="3"/>
  <c r="E290" i="3" s="1"/>
  <c r="C291" i="3" s="1"/>
  <c r="T290" i="3"/>
  <c r="M334" i="3"/>
  <c r="N334" i="3" s="1"/>
  <c r="L335" i="3" s="1"/>
  <c r="U290" i="3" l="1"/>
  <c r="O291" i="3"/>
  <c r="D291" i="3"/>
  <c r="E291" i="3" s="1"/>
  <c r="C292" i="3" s="1"/>
  <c r="T291" i="3"/>
  <c r="M335" i="3"/>
  <c r="N335" i="3" s="1"/>
  <c r="L336" i="3" s="1"/>
  <c r="U291" i="3" l="1"/>
  <c r="O292" i="3"/>
  <c r="D292" i="3"/>
  <c r="E292" i="3" s="1"/>
  <c r="C293" i="3" s="1"/>
  <c r="T292" i="3"/>
  <c r="M336" i="3"/>
  <c r="N336" i="3" s="1"/>
  <c r="L337" i="3" s="1"/>
  <c r="U292" i="3" l="1"/>
  <c r="O293" i="3"/>
  <c r="D293" i="3"/>
  <c r="E293" i="3" s="1"/>
  <c r="C294" i="3" s="1"/>
  <c r="T293" i="3"/>
  <c r="M337" i="3"/>
  <c r="N337" i="3" s="1"/>
  <c r="L338" i="3" s="1"/>
  <c r="U293" i="3" l="1"/>
  <c r="O294" i="3"/>
  <c r="D294" i="3"/>
  <c r="E294" i="3" s="1"/>
  <c r="C295" i="3" s="1"/>
  <c r="T294" i="3"/>
  <c r="M338" i="3"/>
  <c r="N338" i="3" s="1"/>
  <c r="L339" i="3" s="1"/>
  <c r="U294" i="3" l="1"/>
  <c r="O295" i="3"/>
  <c r="D295" i="3"/>
  <c r="E295" i="3" s="1"/>
  <c r="C296" i="3" s="1"/>
  <c r="T295" i="3"/>
  <c r="M339" i="3"/>
  <c r="N339" i="3" s="1"/>
  <c r="L340" i="3" s="1"/>
  <c r="U295" i="3" l="1"/>
  <c r="O296" i="3"/>
  <c r="D296" i="3"/>
  <c r="E296" i="3" s="1"/>
  <c r="C297" i="3" s="1"/>
  <c r="T296" i="3"/>
  <c r="M340" i="3"/>
  <c r="N340" i="3" s="1"/>
  <c r="L341" i="3" s="1"/>
  <c r="U296" i="3" l="1"/>
  <c r="O297" i="3"/>
  <c r="D297" i="3"/>
  <c r="E297" i="3" s="1"/>
  <c r="C298" i="3" s="1"/>
  <c r="T297" i="3"/>
  <c r="M341" i="3"/>
  <c r="N341" i="3" s="1"/>
  <c r="L342" i="3" s="1"/>
  <c r="U297" i="3" l="1"/>
  <c r="O298" i="3"/>
  <c r="D298" i="3"/>
  <c r="E298" i="3" s="1"/>
  <c r="C299" i="3" s="1"/>
  <c r="T298" i="3"/>
  <c r="M342" i="3"/>
  <c r="N342" i="3" s="1"/>
  <c r="L343" i="3" s="1"/>
  <c r="U298" i="3" l="1"/>
  <c r="O299" i="3"/>
  <c r="D299" i="3"/>
  <c r="E299" i="3" s="1"/>
  <c r="C300" i="3" s="1"/>
  <c r="T299" i="3"/>
  <c r="M343" i="3"/>
  <c r="N343" i="3" s="1"/>
  <c r="L344" i="3" s="1"/>
  <c r="U299" i="3" l="1"/>
  <c r="O300" i="3"/>
  <c r="D300" i="3"/>
  <c r="E300" i="3" s="1"/>
  <c r="C301" i="3" s="1"/>
  <c r="T300" i="3"/>
  <c r="M344" i="3"/>
  <c r="N344" i="3" s="1"/>
  <c r="L345" i="3" s="1"/>
  <c r="U300" i="3" l="1"/>
  <c r="O301" i="3"/>
  <c r="D301" i="3"/>
  <c r="E301" i="3" s="1"/>
  <c r="C302" i="3" s="1"/>
  <c r="T301" i="3"/>
  <c r="M345" i="3"/>
  <c r="N345" i="3" s="1"/>
  <c r="L346" i="3" s="1"/>
  <c r="U301" i="3" l="1"/>
  <c r="O302" i="3"/>
  <c r="D302" i="3"/>
  <c r="E302" i="3" s="1"/>
  <c r="C303" i="3" s="1"/>
  <c r="T302" i="3"/>
  <c r="M346" i="3"/>
  <c r="N346" i="3" s="1"/>
  <c r="L347" i="3" s="1"/>
  <c r="U302" i="3" l="1"/>
  <c r="O303" i="3"/>
  <c r="D303" i="3"/>
  <c r="E303" i="3" s="1"/>
  <c r="C304" i="3" s="1"/>
  <c r="T303" i="3"/>
  <c r="O9" i="2"/>
  <c r="M347" i="3"/>
  <c r="N347" i="3" s="1"/>
  <c r="L348" i="3" s="1"/>
  <c r="U303" i="3" l="1"/>
  <c r="O304" i="3"/>
  <c r="D304" i="3"/>
  <c r="E304" i="3" s="1"/>
  <c r="C305" i="3" s="1"/>
  <c r="T304" i="3"/>
  <c r="M348" i="3"/>
  <c r="N348" i="3" s="1"/>
  <c r="L349" i="3" s="1"/>
  <c r="U304" i="3" l="1"/>
  <c r="O305" i="3"/>
  <c r="D305" i="3"/>
  <c r="E305" i="3" s="1"/>
  <c r="C306" i="3" s="1"/>
  <c r="T305" i="3"/>
  <c r="M349" i="3"/>
  <c r="N349" i="3" s="1"/>
  <c r="L350" i="3" s="1"/>
  <c r="U305" i="3" l="1"/>
  <c r="O306" i="3"/>
  <c r="D306" i="3"/>
  <c r="E306" i="3" s="1"/>
  <c r="C307" i="3" s="1"/>
  <c r="T306" i="3"/>
  <c r="M350" i="3"/>
  <c r="N350" i="3" s="1"/>
  <c r="L351" i="3" s="1"/>
  <c r="U306" i="3" l="1"/>
  <c r="O307" i="3"/>
  <c r="D307" i="3"/>
  <c r="E307" i="3" s="1"/>
  <c r="C308" i="3" s="1"/>
  <c r="T307" i="3"/>
  <c r="M351" i="3"/>
  <c r="N351" i="3" s="1"/>
  <c r="L352" i="3" s="1"/>
  <c r="U307" i="3" l="1"/>
  <c r="O308" i="3"/>
  <c r="D308" i="3"/>
  <c r="E308" i="3" s="1"/>
  <c r="C309" i="3" s="1"/>
  <c r="T308" i="3"/>
  <c r="M352" i="3"/>
  <c r="N352" i="3" s="1"/>
  <c r="L353" i="3" s="1"/>
  <c r="O309" i="3" l="1"/>
  <c r="O14" i="2"/>
  <c r="O15" i="2" s="1"/>
  <c r="U308" i="3"/>
  <c r="D309" i="3"/>
  <c r="E309" i="3" s="1"/>
  <c r="C310" i="3" s="1"/>
  <c r="T309" i="3"/>
  <c r="M353" i="3"/>
  <c r="N353" i="3" s="1"/>
  <c r="L354" i="3" s="1"/>
  <c r="U309" i="3" l="1"/>
  <c r="O310" i="3"/>
  <c r="D310" i="3"/>
  <c r="E310" i="3" s="1"/>
  <c r="C311" i="3" s="1"/>
  <c r="T310" i="3"/>
  <c r="M354" i="3"/>
  <c r="N354" i="3" s="1"/>
  <c r="L355" i="3" s="1"/>
  <c r="U310" i="3" l="1"/>
  <c r="O311" i="3"/>
  <c r="D311" i="3"/>
  <c r="E311" i="3" s="1"/>
  <c r="C312" i="3" s="1"/>
  <c r="T311" i="3"/>
  <c r="M355" i="3"/>
  <c r="N355" i="3" s="1"/>
  <c r="L356" i="3" s="1"/>
  <c r="U311" i="3" l="1"/>
  <c r="O312" i="3"/>
  <c r="D312" i="3"/>
  <c r="E312" i="3" s="1"/>
  <c r="C313" i="3" s="1"/>
  <c r="T312" i="3"/>
  <c r="M356" i="3"/>
  <c r="N356" i="3" s="1"/>
  <c r="L357" i="3" s="1"/>
  <c r="U312" i="3" l="1"/>
  <c r="O313" i="3"/>
  <c r="D313" i="3"/>
  <c r="E313" i="3" s="1"/>
  <c r="C314" i="3" s="1"/>
  <c r="T313" i="3"/>
  <c r="M357" i="3"/>
  <c r="N357" i="3" s="1"/>
  <c r="L358" i="3" s="1"/>
  <c r="U313" i="3" l="1"/>
  <c r="O314" i="3"/>
  <c r="D314" i="3"/>
  <c r="E314" i="3" s="1"/>
  <c r="C315" i="3" s="1"/>
  <c r="T314" i="3"/>
  <c r="M358" i="3"/>
  <c r="N358" i="3" s="1"/>
  <c r="L359" i="3" s="1"/>
  <c r="U314" i="3" l="1"/>
  <c r="O315" i="3"/>
  <c r="D315" i="3"/>
  <c r="E315" i="3" s="1"/>
  <c r="C316" i="3" s="1"/>
  <c r="T315" i="3"/>
  <c r="M359" i="3"/>
  <c r="N359" i="3" s="1"/>
  <c r="L360" i="3" s="1"/>
  <c r="U315" i="3" l="1"/>
  <c r="O316" i="3"/>
  <c r="D316" i="3"/>
  <c r="E316" i="3" s="1"/>
  <c r="C317" i="3" s="1"/>
  <c r="T316" i="3"/>
  <c r="M360" i="3"/>
  <c r="N360" i="3" s="1"/>
  <c r="L361" i="3" s="1"/>
  <c r="U316" i="3" l="1"/>
  <c r="O317" i="3"/>
  <c r="D317" i="3"/>
  <c r="E317" i="3" s="1"/>
  <c r="C318" i="3" s="1"/>
  <c r="T317" i="3"/>
  <c r="M361" i="3"/>
  <c r="N361" i="3" s="1"/>
  <c r="L362" i="3" s="1"/>
  <c r="U317" i="3" l="1"/>
  <c r="O318" i="3"/>
  <c r="D318" i="3"/>
  <c r="E318" i="3" s="1"/>
  <c r="C319" i="3" s="1"/>
  <c r="T318" i="3"/>
  <c r="M362" i="3"/>
  <c r="N362" i="3" s="1"/>
  <c r="L363" i="3" s="1"/>
  <c r="U318" i="3" l="1"/>
  <c r="O319" i="3"/>
  <c r="D319" i="3"/>
  <c r="E319" i="3" s="1"/>
  <c r="C320" i="3" s="1"/>
  <c r="T319" i="3"/>
  <c r="M363" i="3"/>
  <c r="N363" i="3" s="1"/>
  <c r="L364" i="3" s="1"/>
  <c r="U319" i="3" l="1"/>
  <c r="O320" i="3"/>
  <c r="D320" i="3"/>
  <c r="E320" i="3" s="1"/>
  <c r="C321" i="3" s="1"/>
  <c r="T320" i="3"/>
  <c r="M364" i="3"/>
  <c r="N364" i="3" s="1"/>
  <c r="L365" i="3" s="1"/>
  <c r="U320" i="3" l="1"/>
  <c r="O321" i="3"/>
  <c r="D321" i="3"/>
  <c r="E321" i="3" s="1"/>
  <c r="C322" i="3" s="1"/>
  <c r="T321" i="3"/>
  <c r="M365" i="3"/>
  <c r="N365" i="3" s="1"/>
  <c r="L366" i="3" s="1"/>
  <c r="U321" i="3" l="1"/>
  <c r="O322" i="3"/>
  <c r="D322" i="3"/>
  <c r="E322" i="3" s="1"/>
  <c r="C323" i="3" s="1"/>
  <c r="T322" i="3"/>
  <c r="M366" i="3"/>
  <c r="N366" i="3" s="1"/>
  <c r="L367" i="3" s="1"/>
  <c r="P13" i="2" s="1"/>
  <c r="U322" i="3" l="1"/>
  <c r="O323" i="3"/>
  <c r="D323" i="3"/>
  <c r="E323" i="3" s="1"/>
  <c r="C324" i="3" s="1"/>
  <c r="T323" i="3"/>
  <c r="M367" i="3"/>
  <c r="N367" i="3" s="1"/>
  <c r="L368" i="3" s="1"/>
  <c r="U323" i="3" l="1"/>
  <c r="O324" i="3"/>
  <c r="D324" i="3"/>
  <c r="E324" i="3" s="1"/>
  <c r="C325" i="3" s="1"/>
  <c r="T324" i="3"/>
  <c r="M368" i="3"/>
  <c r="N368" i="3" s="1"/>
  <c r="L369" i="3" s="1"/>
  <c r="U324" i="3" l="1"/>
  <c r="O325" i="3"/>
  <c r="D325" i="3"/>
  <c r="E325" i="3" s="1"/>
  <c r="C326" i="3" s="1"/>
  <c r="T325" i="3"/>
  <c r="M369" i="3"/>
  <c r="N369" i="3" s="1"/>
  <c r="L370" i="3" s="1"/>
  <c r="U325" i="3" l="1"/>
  <c r="O326" i="3"/>
  <c r="D326" i="3"/>
  <c r="E326" i="3" s="1"/>
  <c r="C327" i="3" s="1"/>
  <c r="T326" i="3"/>
  <c r="M370" i="3"/>
  <c r="N370" i="3" s="1"/>
  <c r="L371" i="3" s="1"/>
  <c r="U326" i="3" l="1"/>
  <c r="O327" i="3"/>
  <c r="D327" i="3"/>
  <c r="E327" i="3" s="1"/>
  <c r="C328" i="3" s="1"/>
  <c r="T327" i="3"/>
  <c r="M371" i="3"/>
  <c r="N371" i="3" s="1"/>
  <c r="L372" i="3" s="1"/>
  <c r="U327" i="3" l="1"/>
  <c r="O328" i="3"/>
  <c r="D328" i="3"/>
  <c r="E328" i="3" s="1"/>
  <c r="C329" i="3" s="1"/>
  <c r="T328" i="3"/>
  <c r="M372" i="3"/>
  <c r="N372" i="3" s="1"/>
  <c r="L373" i="3" s="1"/>
  <c r="U328" i="3" l="1"/>
  <c r="O329" i="3"/>
  <c r="D329" i="3"/>
  <c r="E329" i="3" s="1"/>
  <c r="C330" i="3" s="1"/>
  <c r="T329" i="3"/>
  <c r="M373" i="3"/>
  <c r="N373" i="3" s="1"/>
  <c r="L374" i="3" s="1"/>
  <c r="U329" i="3" l="1"/>
  <c r="O330" i="3"/>
  <c r="D330" i="3"/>
  <c r="E330" i="3" s="1"/>
  <c r="C331" i="3" s="1"/>
  <c r="T330" i="3"/>
  <c r="M374" i="3"/>
  <c r="N374" i="3" s="1"/>
  <c r="L375" i="3" s="1"/>
  <c r="U330" i="3" l="1"/>
  <c r="O331" i="3"/>
  <c r="D331" i="3"/>
  <c r="E331" i="3" s="1"/>
  <c r="C332" i="3" s="1"/>
  <c r="T331" i="3"/>
  <c r="M375" i="3"/>
  <c r="N375" i="3" s="1"/>
  <c r="L376" i="3" s="1"/>
  <c r="U331" i="3" l="1"/>
  <c r="O332" i="3"/>
  <c r="D332" i="3"/>
  <c r="E332" i="3" s="1"/>
  <c r="C333" i="3" s="1"/>
  <c r="T332" i="3"/>
  <c r="M376" i="3"/>
  <c r="N376" i="3" s="1"/>
  <c r="L377" i="3" s="1"/>
  <c r="U332" i="3" l="1"/>
  <c r="O333" i="3"/>
  <c r="D333" i="3"/>
  <c r="E333" i="3" s="1"/>
  <c r="C334" i="3" s="1"/>
  <c r="T333" i="3"/>
  <c r="M377" i="3"/>
  <c r="N377" i="3" s="1"/>
  <c r="L378" i="3" s="1"/>
  <c r="U333" i="3" l="1"/>
  <c r="O334" i="3"/>
  <c r="D334" i="3"/>
  <c r="E334" i="3" s="1"/>
  <c r="C335" i="3" s="1"/>
  <c r="T334" i="3"/>
  <c r="M378" i="3"/>
  <c r="N378" i="3" s="1"/>
  <c r="L379" i="3" s="1"/>
  <c r="U334" i="3" l="1"/>
  <c r="O335" i="3"/>
  <c r="D335" i="3"/>
  <c r="E335" i="3" s="1"/>
  <c r="C336" i="3" s="1"/>
  <c r="T335" i="3"/>
  <c r="M379" i="3"/>
  <c r="N379" i="3" s="1"/>
  <c r="L380" i="3" s="1"/>
  <c r="U335" i="3" l="1"/>
  <c r="O336" i="3"/>
  <c r="D336" i="3"/>
  <c r="E336" i="3" s="1"/>
  <c r="C337" i="3" s="1"/>
  <c r="T336" i="3"/>
  <c r="M380" i="3"/>
  <c r="N380" i="3" s="1"/>
  <c r="L381" i="3" s="1"/>
  <c r="U336" i="3" l="1"/>
  <c r="O337" i="3"/>
  <c r="D337" i="3"/>
  <c r="E337" i="3" s="1"/>
  <c r="C338" i="3" s="1"/>
  <c r="T337" i="3"/>
  <c r="M381" i="3"/>
  <c r="N381" i="3" s="1"/>
  <c r="L382" i="3" s="1"/>
  <c r="U337" i="3" l="1"/>
  <c r="O338" i="3"/>
  <c r="D338" i="3"/>
  <c r="E338" i="3" s="1"/>
  <c r="C339" i="3" s="1"/>
  <c r="T338" i="3"/>
  <c r="M382" i="3"/>
  <c r="N382" i="3" s="1"/>
  <c r="L383" i="3" s="1"/>
  <c r="U338" i="3" l="1"/>
  <c r="O339" i="3"/>
  <c r="D339" i="3"/>
  <c r="E339" i="3" s="1"/>
  <c r="C340" i="3" s="1"/>
  <c r="T339" i="3"/>
  <c r="M383" i="3"/>
  <c r="N383" i="3" s="1"/>
  <c r="L384" i="3" s="1"/>
  <c r="U339" i="3" l="1"/>
  <c r="O340" i="3"/>
  <c r="D340" i="3"/>
  <c r="E340" i="3" s="1"/>
  <c r="C341" i="3" s="1"/>
  <c r="T340" i="3"/>
  <c r="M384" i="3"/>
  <c r="N384" i="3" s="1"/>
  <c r="L385" i="3" s="1"/>
  <c r="U340" i="3" l="1"/>
  <c r="O341" i="3"/>
  <c r="D341" i="3"/>
  <c r="E341" i="3" s="1"/>
  <c r="C342" i="3" s="1"/>
  <c r="T341" i="3"/>
  <c r="M385" i="3"/>
  <c r="N385" i="3" s="1"/>
  <c r="L386" i="3" s="1"/>
  <c r="U341" i="3" l="1"/>
  <c r="O342" i="3"/>
  <c r="D342" i="3"/>
  <c r="E342" i="3" s="1"/>
  <c r="C343" i="3" s="1"/>
  <c r="T342" i="3"/>
  <c r="M386" i="3"/>
  <c r="N386" i="3" s="1"/>
  <c r="L387" i="3" s="1"/>
  <c r="U342" i="3" l="1"/>
  <c r="O343" i="3"/>
  <c r="D343" i="3"/>
  <c r="E343" i="3" s="1"/>
  <c r="C344" i="3" s="1"/>
  <c r="T343" i="3"/>
  <c r="M387" i="3"/>
  <c r="N387" i="3" s="1"/>
  <c r="L388" i="3" s="1"/>
  <c r="U343" i="3" l="1"/>
  <c r="O344" i="3"/>
  <c r="D344" i="3"/>
  <c r="E344" i="3" s="1"/>
  <c r="C345" i="3" s="1"/>
  <c r="T344" i="3"/>
  <c r="M388" i="3"/>
  <c r="N388" i="3" s="1"/>
  <c r="L389" i="3" s="1"/>
  <c r="U344" i="3" l="1"/>
  <c r="O345" i="3"/>
  <c r="D345" i="3"/>
  <c r="E345" i="3" s="1"/>
  <c r="C346" i="3" s="1"/>
  <c r="T345" i="3"/>
  <c r="M389" i="3"/>
  <c r="N389" i="3" s="1"/>
  <c r="L390" i="3" s="1"/>
  <c r="U345" i="3" l="1"/>
  <c r="O346" i="3"/>
  <c r="D346" i="3"/>
  <c r="E346" i="3" s="1"/>
  <c r="C347" i="3" s="1"/>
  <c r="T346" i="3"/>
  <c r="M390" i="3"/>
  <c r="N390" i="3" s="1"/>
  <c r="L391" i="3" s="1"/>
  <c r="U346" i="3" l="1"/>
  <c r="O347" i="3"/>
  <c r="D347" i="3"/>
  <c r="E347" i="3" s="1"/>
  <c r="C348" i="3" s="1"/>
  <c r="T347" i="3"/>
  <c r="M391" i="3"/>
  <c r="N391" i="3" s="1"/>
  <c r="L392" i="3" s="1"/>
  <c r="U347" i="3" l="1"/>
  <c r="O348" i="3"/>
  <c r="D348" i="3"/>
  <c r="E348" i="3" s="1"/>
  <c r="C349" i="3" s="1"/>
  <c r="T348" i="3"/>
  <c r="M392" i="3"/>
  <c r="N392" i="3" s="1"/>
  <c r="L393" i="3" s="1"/>
  <c r="U348" i="3" l="1"/>
  <c r="O349" i="3"/>
  <c r="D349" i="3"/>
  <c r="E349" i="3" s="1"/>
  <c r="C350" i="3" s="1"/>
  <c r="T349" i="3"/>
  <c r="M393" i="3"/>
  <c r="N393" i="3" s="1"/>
  <c r="L394" i="3" s="1"/>
  <c r="U349" i="3" l="1"/>
  <c r="O350" i="3"/>
  <c r="D350" i="3"/>
  <c r="E350" i="3" s="1"/>
  <c r="C351" i="3" s="1"/>
  <c r="T350" i="3"/>
  <c r="M394" i="3"/>
  <c r="N394" i="3" s="1"/>
  <c r="L395" i="3" s="1"/>
  <c r="U350" i="3" l="1"/>
  <c r="O351" i="3"/>
  <c r="D351" i="3"/>
  <c r="E351" i="3" s="1"/>
  <c r="C352" i="3" s="1"/>
  <c r="T351" i="3"/>
  <c r="M395" i="3"/>
  <c r="N395" i="3" s="1"/>
  <c r="L396" i="3" s="1"/>
  <c r="U351" i="3" l="1"/>
  <c r="O352" i="3"/>
  <c r="D352" i="3"/>
  <c r="E352" i="3" s="1"/>
  <c r="C353" i="3" s="1"/>
  <c r="T352" i="3"/>
  <c r="M396" i="3"/>
  <c r="N396" i="3" s="1"/>
  <c r="L397" i="3" s="1"/>
  <c r="U352" i="3" l="1"/>
  <c r="O353" i="3"/>
  <c r="D353" i="3"/>
  <c r="E353" i="3" s="1"/>
  <c r="C354" i="3" s="1"/>
  <c r="T353" i="3"/>
  <c r="M397" i="3"/>
  <c r="N397" i="3" s="1"/>
  <c r="L398" i="3" s="1"/>
  <c r="U353" i="3" l="1"/>
  <c r="O354" i="3"/>
  <c r="D354" i="3"/>
  <c r="E354" i="3" s="1"/>
  <c r="C355" i="3" s="1"/>
  <c r="T354" i="3"/>
  <c r="M398" i="3"/>
  <c r="N398" i="3" s="1"/>
  <c r="L399" i="3" s="1"/>
  <c r="U354" i="3" l="1"/>
  <c r="O355" i="3"/>
  <c r="D355" i="3"/>
  <c r="E355" i="3" s="1"/>
  <c r="C356" i="3" s="1"/>
  <c r="T355" i="3"/>
  <c r="M399" i="3"/>
  <c r="N399" i="3" s="1"/>
  <c r="L400" i="3" s="1"/>
  <c r="U355" i="3" l="1"/>
  <c r="O356" i="3"/>
  <c r="D356" i="3"/>
  <c r="E356" i="3" s="1"/>
  <c r="C357" i="3" s="1"/>
  <c r="T356" i="3"/>
  <c r="M400" i="3"/>
  <c r="N400" i="3" s="1"/>
  <c r="L401" i="3" s="1"/>
  <c r="U356" i="3" l="1"/>
  <c r="O357" i="3"/>
  <c r="D357" i="3"/>
  <c r="E357" i="3" s="1"/>
  <c r="C358" i="3" s="1"/>
  <c r="T357" i="3"/>
  <c r="M401" i="3"/>
  <c r="N401" i="3" s="1"/>
  <c r="L402" i="3" s="1"/>
  <c r="U357" i="3" l="1"/>
  <c r="O358" i="3"/>
  <c r="D358" i="3"/>
  <c r="E358" i="3" s="1"/>
  <c r="C359" i="3" s="1"/>
  <c r="T358" i="3"/>
  <c r="M402" i="3"/>
  <c r="N402" i="3" s="1"/>
  <c r="L403" i="3" s="1"/>
  <c r="U358" i="3" l="1"/>
  <c r="O359" i="3"/>
  <c r="D359" i="3"/>
  <c r="E359" i="3" s="1"/>
  <c r="C360" i="3" s="1"/>
  <c r="T359" i="3"/>
  <c r="M403" i="3"/>
  <c r="N403" i="3" s="1"/>
  <c r="L404" i="3" s="1"/>
  <c r="U359" i="3" l="1"/>
  <c r="O360" i="3"/>
  <c r="D360" i="3"/>
  <c r="E360" i="3" s="1"/>
  <c r="C361" i="3" s="1"/>
  <c r="T360" i="3"/>
  <c r="M404" i="3"/>
  <c r="N404" i="3" s="1"/>
  <c r="L405" i="3" s="1"/>
  <c r="U360" i="3" l="1"/>
  <c r="O361" i="3"/>
  <c r="D361" i="3"/>
  <c r="E361" i="3" s="1"/>
  <c r="C362" i="3" s="1"/>
  <c r="T361" i="3"/>
  <c r="M405" i="3"/>
  <c r="N405" i="3" s="1"/>
  <c r="L406" i="3" s="1"/>
  <c r="U361" i="3" l="1"/>
  <c r="O362" i="3"/>
  <c r="D362" i="3"/>
  <c r="E362" i="3" s="1"/>
  <c r="C363" i="3" s="1"/>
  <c r="T362" i="3"/>
  <c r="M406" i="3"/>
  <c r="N406" i="3" s="1"/>
  <c r="L407" i="3" s="1"/>
  <c r="U362" i="3" l="1"/>
  <c r="O363" i="3"/>
  <c r="D363" i="3"/>
  <c r="E363" i="3" s="1"/>
  <c r="C364" i="3" s="1"/>
  <c r="T363" i="3"/>
  <c r="P9" i="2"/>
  <c r="M407" i="3"/>
  <c r="N407" i="3" s="1"/>
  <c r="L408" i="3" s="1"/>
  <c r="U363" i="3" l="1"/>
  <c r="O364" i="3"/>
  <c r="D364" i="3"/>
  <c r="E364" i="3" s="1"/>
  <c r="C365" i="3" s="1"/>
  <c r="T364" i="3"/>
  <c r="M408" i="3"/>
  <c r="N408" i="3" s="1"/>
  <c r="L409" i="3" s="1"/>
  <c r="U364" i="3" l="1"/>
  <c r="O365" i="3"/>
  <c r="D365" i="3"/>
  <c r="E365" i="3" s="1"/>
  <c r="C366" i="3" s="1"/>
  <c r="T365" i="3"/>
  <c r="M409" i="3"/>
  <c r="N409" i="3" s="1"/>
  <c r="L410" i="3" s="1"/>
  <c r="U365" i="3" l="1"/>
  <c r="O366" i="3"/>
  <c r="D366" i="3"/>
  <c r="E366" i="3" s="1"/>
  <c r="C367" i="3" s="1"/>
  <c r="T366" i="3"/>
  <c r="M410" i="3"/>
  <c r="N410" i="3" s="1"/>
  <c r="L411" i="3" s="1"/>
  <c r="U366" i="3" l="1"/>
  <c r="O367" i="3"/>
  <c r="D367" i="3"/>
  <c r="E367" i="3" s="1"/>
  <c r="C368" i="3" s="1"/>
  <c r="T367" i="3"/>
  <c r="M411" i="3"/>
  <c r="N411" i="3" s="1"/>
  <c r="L412" i="3" s="1"/>
  <c r="U367" i="3" l="1"/>
  <c r="O368" i="3"/>
  <c r="D368" i="3"/>
  <c r="E368" i="3" s="1"/>
  <c r="C369" i="3" s="1"/>
  <c r="T368" i="3"/>
  <c r="M412" i="3"/>
  <c r="N412" i="3" s="1"/>
  <c r="L413" i="3" s="1"/>
  <c r="P14" i="2" l="1"/>
  <c r="P15" i="2" s="1"/>
  <c r="O369" i="3"/>
  <c r="U368" i="3"/>
  <c r="D369" i="3"/>
  <c r="E369" i="3" s="1"/>
  <c r="C370" i="3" s="1"/>
  <c r="T369" i="3"/>
  <c r="M413" i="3"/>
  <c r="N413" i="3" s="1"/>
  <c r="L414" i="3" s="1"/>
  <c r="U369" i="3" l="1"/>
  <c r="O370" i="3"/>
  <c r="D370" i="3"/>
  <c r="E370" i="3" s="1"/>
  <c r="C371" i="3" s="1"/>
  <c r="T370" i="3"/>
  <c r="M414" i="3"/>
  <c r="N414" i="3" s="1"/>
  <c r="L415" i="3" s="1"/>
  <c r="U370" i="3" l="1"/>
  <c r="O371" i="3"/>
  <c r="D371" i="3"/>
  <c r="E371" i="3" s="1"/>
  <c r="C372" i="3" s="1"/>
  <c r="T371" i="3"/>
  <c r="M415" i="3"/>
  <c r="N415" i="3" s="1"/>
  <c r="L416" i="3" s="1"/>
  <c r="U371" i="3" l="1"/>
  <c r="O372" i="3"/>
  <c r="D372" i="3"/>
  <c r="E372" i="3" s="1"/>
  <c r="C373" i="3" s="1"/>
  <c r="T372" i="3"/>
  <c r="M416" i="3"/>
  <c r="N416" i="3" s="1"/>
  <c r="L417" i="3" s="1"/>
  <c r="U372" i="3" l="1"/>
  <c r="O373" i="3"/>
  <c r="D373" i="3"/>
  <c r="E373" i="3" s="1"/>
  <c r="C374" i="3" s="1"/>
  <c r="T373" i="3"/>
  <c r="M417" i="3"/>
  <c r="N417" i="3" s="1"/>
  <c r="L418" i="3" s="1"/>
  <c r="U373" i="3" l="1"/>
  <c r="O374" i="3"/>
  <c r="D374" i="3"/>
  <c r="E374" i="3" s="1"/>
  <c r="C375" i="3" s="1"/>
  <c r="T374" i="3"/>
  <c r="M418" i="3"/>
  <c r="N418" i="3" s="1"/>
  <c r="L419" i="3" s="1"/>
  <c r="U374" i="3" l="1"/>
  <c r="O375" i="3"/>
  <c r="D375" i="3"/>
  <c r="E375" i="3" s="1"/>
  <c r="C376" i="3" s="1"/>
  <c r="T375" i="3"/>
  <c r="M419" i="3"/>
  <c r="N419" i="3" s="1"/>
  <c r="L420" i="3" s="1"/>
  <c r="U375" i="3" l="1"/>
  <c r="O376" i="3"/>
  <c r="D376" i="3"/>
  <c r="E376" i="3" s="1"/>
  <c r="C377" i="3" s="1"/>
  <c r="T376" i="3"/>
  <c r="M420" i="3"/>
  <c r="N420" i="3" s="1"/>
  <c r="L421" i="3" s="1"/>
  <c r="U376" i="3" l="1"/>
  <c r="O377" i="3"/>
  <c r="D377" i="3"/>
  <c r="E377" i="3" s="1"/>
  <c r="C378" i="3" s="1"/>
  <c r="T377" i="3"/>
  <c r="M421" i="3"/>
  <c r="N421" i="3" s="1"/>
  <c r="L422" i="3" s="1"/>
  <c r="U377" i="3" l="1"/>
  <c r="O378" i="3"/>
  <c r="D378" i="3"/>
  <c r="E378" i="3" s="1"/>
  <c r="C379" i="3" s="1"/>
  <c r="T378" i="3"/>
  <c r="M422" i="3"/>
  <c r="N422" i="3" s="1"/>
  <c r="L423" i="3" s="1"/>
  <c r="U378" i="3" l="1"/>
  <c r="O379" i="3"/>
  <c r="D379" i="3"/>
  <c r="E379" i="3" s="1"/>
  <c r="C380" i="3" s="1"/>
  <c r="T379" i="3"/>
  <c r="M423" i="3"/>
  <c r="N423" i="3" s="1"/>
  <c r="L424" i="3" s="1"/>
  <c r="U379" i="3" l="1"/>
  <c r="O380" i="3"/>
  <c r="D380" i="3"/>
  <c r="E380" i="3" s="1"/>
  <c r="C381" i="3" s="1"/>
  <c r="T380" i="3"/>
  <c r="M424" i="3"/>
  <c r="N424" i="3" s="1"/>
  <c r="L425" i="3" s="1"/>
  <c r="U380" i="3" l="1"/>
  <c r="O381" i="3"/>
  <c r="D381" i="3"/>
  <c r="E381" i="3" s="1"/>
  <c r="C382" i="3" s="1"/>
  <c r="T381" i="3"/>
  <c r="M425" i="3"/>
  <c r="N425" i="3" s="1"/>
  <c r="L426" i="3" s="1"/>
  <c r="U381" i="3" l="1"/>
  <c r="O382" i="3"/>
  <c r="D382" i="3"/>
  <c r="E382" i="3" s="1"/>
  <c r="C383" i="3" s="1"/>
  <c r="T382" i="3"/>
  <c r="M426" i="3"/>
  <c r="N426" i="3" s="1"/>
  <c r="L427" i="3" s="1"/>
  <c r="U382" i="3" l="1"/>
  <c r="O383" i="3"/>
  <c r="D383" i="3"/>
  <c r="E383" i="3" s="1"/>
  <c r="C384" i="3" s="1"/>
  <c r="T383" i="3"/>
  <c r="M427" i="3"/>
  <c r="N427" i="3" s="1"/>
  <c r="L428" i="3" s="1"/>
  <c r="U383" i="3" l="1"/>
  <c r="O384" i="3"/>
  <c r="D384" i="3"/>
  <c r="E384" i="3" s="1"/>
  <c r="C385" i="3" s="1"/>
  <c r="T384" i="3"/>
  <c r="M428" i="3"/>
  <c r="N428" i="3" s="1"/>
  <c r="L429" i="3" s="1"/>
  <c r="U384" i="3" l="1"/>
  <c r="O385" i="3"/>
  <c r="D385" i="3"/>
  <c r="E385" i="3" s="1"/>
  <c r="C386" i="3" s="1"/>
  <c r="T385" i="3"/>
  <c r="M429" i="3"/>
  <c r="N429" i="3" s="1"/>
  <c r="L430" i="3" s="1"/>
  <c r="U385" i="3" l="1"/>
  <c r="O386" i="3"/>
  <c r="D386" i="3"/>
  <c r="E386" i="3" s="1"/>
  <c r="C387" i="3" s="1"/>
  <c r="T386" i="3"/>
  <c r="M430" i="3"/>
  <c r="N430" i="3" s="1"/>
  <c r="L431" i="3" s="1"/>
  <c r="U386" i="3" l="1"/>
  <c r="O387" i="3"/>
  <c r="D387" i="3"/>
  <c r="E387" i="3" s="1"/>
  <c r="C388" i="3" s="1"/>
  <c r="T387" i="3"/>
  <c r="M431" i="3"/>
  <c r="N431" i="3" s="1"/>
  <c r="L432" i="3" s="1"/>
  <c r="U387" i="3" l="1"/>
  <c r="O388" i="3"/>
  <c r="D388" i="3"/>
  <c r="E388" i="3" s="1"/>
  <c r="C389" i="3" s="1"/>
  <c r="T388" i="3"/>
  <c r="M432" i="3"/>
  <c r="N432" i="3" s="1"/>
  <c r="L433" i="3" s="1"/>
  <c r="U388" i="3" l="1"/>
  <c r="O389" i="3"/>
  <c r="D389" i="3"/>
  <c r="E389" i="3" s="1"/>
  <c r="C390" i="3" s="1"/>
  <c r="T389" i="3"/>
  <c r="M433" i="3"/>
  <c r="N433" i="3" s="1"/>
  <c r="L434" i="3" s="1"/>
  <c r="U389" i="3" l="1"/>
  <c r="O390" i="3"/>
  <c r="D390" i="3"/>
  <c r="E390" i="3" s="1"/>
  <c r="C391" i="3" s="1"/>
  <c r="T390" i="3"/>
  <c r="M434" i="3"/>
  <c r="N434" i="3" s="1"/>
  <c r="L435" i="3" s="1"/>
  <c r="U390" i="3" l="1"/>
  <c r="O391" i="3"/>
  <c r="D391" i="3"/>
  <c r="E391" i="3" s="1"/>
  <c r="C392" i="3" s="1"/>
  <c r="T391" i="3"/>
  <c r="M435" i="3"/>
  <c r="N435" i="3" s="1"/>
  <c r="L436" i="3" s="1"/>
  <c r="U391" i="3" l="1"/>
  <c r="O392" i="3"/>
  <c r="D392" i="3"/>
  <c r="E392" i="3" s="1"/>
  <c r="C393" i="3" s="1"/>
  <c r="T392" i="3"/>
  <c r="M436" i="3"/>
  <c r="N436" i="3" s="1"/>
  <c r="L437" i="3" s="1"/>
  <c r="U392" i="3" l="1"/>
  <c r="O393" i="3"/>
  <c r="D393" i="3"/>
  <c r="E393" i="3" s="1"/>
  <c r="C394" i="3" s="1"/>
  <c r="T393" i="3"/>
  <c r="M437" i="3"/>
  <c r="N437" i="3" s="1"/>
  <c r="L438" i="3" s="1"/>
  <c r="U393" i="3" l="1"/>
  <c r="O394" i="3"/>
  <c r="D394" i="3"/>
  <c r="E394" i="3" s="1"/>
  <c r="C395" i="3" s="1"/>
  <c r="T394" i="3"/>
  <c r="M438" i="3"/>
  <c r="N438" i="3" s="1"/>
  <c r="L439" i="3" s="1"/>
  <c r="U394" i="3" l="1"/>
  <c r="O395" i="3"/>
  <c r="D395" i="3"/>
  <c r="E395" i="3" s="1"/>
  <c r="C396" i="3" s="1"/>
  <c r="T395" i="3"/>
  <c r="M439" i="3"/>
  <c r="N439" i="3" s="1"/>
  <c r="L440" i="3" s="1"/>
  <c r="U395" i="3" l="1"/>
  <c r="O396" i="3"/>
  <c r="D396" i="3"/>
  <c r="E396" i="3" s="1"/>
  <c r="C397" i="3" s="1"/>
  <c r="T396" i="3"/>
  <c r="M440" i="3"/>
  <c r="N440" i="3" s="1"/>
  <c r="L441" i="3" s="1"/>
  <c r="U396" i="3" l="1"/>
  <c r="O397" i="3"/>
  <c r="D397" i="3"/>
  <c r="E397" i="3" s="1"/>
  <c r="C398" i="3" s="1"/>
  <c r="T397" i="3"/>
  <c r="M441" i="3"/>
  <c r="N441" i="3" s="1"/>
  <c r="L442" i="3" s="1"/>
  <c r="U397" i="3" l="1"/>
  <c r="O398" i="3"/>
  <c r="D398" i="3"/>
  <c r="E398" i="3" s="1"/>
  <c r="C399" i="3" s="1"/>
  <c r="T398" i="3"/>
  <c r="M442" i="3"/>
  <c r="N442" i="3" s="1"/>
  <c r="L443" i="3" s="1"/>
  <c r="U398" i="3" l="1"/>
  <c r="O399" i="3"/>
  <c r="D399" i="3"/>
  <c r="E399" i="3" s="1"/>
  <c r="C400" i="3" s="1"/>
  <c r="T399" i="3"/>
  <c r="M443" i="3"/>
  <c r="N443" i="3" s="1"/>
  <c r="L444" i="3" s="1"/>
  <c r="U399" i="3" l="1"/>
  <c r="O400" i="3"/>
  <c r="D400" i="3"/>
  <c r="E400" i="3" s="1"/>
  <c r="C401" i="3" s="1"/>
  <c r="T400" i="3"/>
  <c r="M444" i="3"/>
  <c r="N444" i="3" s="1"/>
  <c r="L445" i="3" s="1"/>
  <c r="U400" i="3" l="1"/>
  <c r="O401" i="3"/>
  <c r="D401" i="3"/>
  <c r="E401" i="3" s="1"/>
  <c r="C402" i="3" s="1"/>
  <c r="T401" i="3"/>
  <c r="M445" i="3"/>
  <c r="N445" i="3" s="1"/>
  <c r="L446" i="3" s="1"/>
  <c r="U401" i="3" l="1"/>
  <c r="O402" i="3"/>
  <c r="D402" i="3"/>
  <c r="E402" i="3" s="1"/>
  <c r="C403" i="3" s="1"/>
  <c r="T402" i="3"/>
  <c r="M446" i="3"/>
  <c r="N446" i="3" s="1"/>
  <c r="L447" i="3" s="1"/>
  <c r="U402" i="3" l="1"/>
  <c r="O403" i="3"/>
  <c r="D403" i="3"/>
  <c r="E403" i="3" s="1"/>
  <c r="C404" i="3" s="1"/>
  <c r="T403" i="3"/>
  <c r="M447" i="3"/>
  <c r="N447" i="3" s="1"/>
  <c r="L448" i="3" s="1"/>
  <c r="U403" i="3" l="1"/>
  <c r="O404" i="3"/>
  <c r="D404" i="3"/>
  <c r="E404" i="3" s="1"/>
  <c r="C405" i="3" s="1"/>
  <c r="T404" i="3"/>
  <c r="M448" i="3"/>
  <c r="N448" i="3" s="1"/>
  <c r="L449" i="3" s="1"/>
  <c r="U404" i="3" l="1"/>
  <c r="O405" i="3"/>
  <c r="D405" i="3"/>
  <c r="E405" i="3" s="1"/>
  <c r="C406" i="3" s="1"/>
  <c r="T405" i="3"/>
  <c r="M449" i="3"/>
  <c r="N449" i="3" s="1"/>
  <c r="L450" i="3" s="1"/>
  <c r="U405" i="3" l="1"/>
  <c r="O406" i="3"/>
  <c r="D406" i="3"/>
  <c r="E406" i="3" s="1"/>
  <c r="C407" i="3" s="1"/>
  <c r="T406" i="3"/>
  <c r="M450" i="3"/>
  <c r="N450" i="3" s="1"/>
  <c r="L451" i="3" s="1"/>
  <c r="U406" i="3" l="1"/>
  <c r="O407" i="3"/>
  <c r="D407" i="3"/>
  <c r="E407" i="3" s="1"/>
  <c r="C408" i="3" s="1"/>
  <c r="T407" i="3"/>
  <c r="M451" i="3"/>
  <c r="N451" i="3" s="1"/>
  <c r="L452" i="3" s="1"/>
  <c r="U407" i="3" l="1"/>
  <c r="O408" i="3"/>
  <c r="D408" i="3"/>
  <c r="E408" i="3" s="1"/>
  <c r="C409" i="3" s="1"/>
  <c r="T408" i="3"/>
  <c r="M452" i="3"/>
  <c r="N452" i="3" s="1"/>
  <c r="L453" i="3" s="1"/>
  <c r="U408" i="3" l="1"/>
  <c r="O409" i="3"/>
  <c r="D409" i="3"/>
  <c r="E409" i="3" s="1"/>
  <c r="C410" i="3" s="1"/>
  <c r="T409" i="3"/>
  <c r="M453" i="3"/>
  <c r="N453" i="3" s="1"/>
  <c r="L454" i="3" s="1"/>
  <c r="U409" i="3" l="1"/>
  <c r="O410" i="3"/>
  <c r="D410" i="3"/>
  <c r="E410" i="3" s="1"/>
  <c r="C411" i="3" s="1"/>
  <c r="T410" i="3"/>
  <c r="M454" i="3"/>
  <c r="N454" i="3" s="1"/>
  <c r="L455" i="3" s="1"/>
  <c r="U410" i="3" l="1"/>
  <c r="O411" i="3"/>
  <c r="D411" i="3"/>
  <c r="E411" i="3" s="1"/>
  <c r="C412" i="3" s="1"/>
  <c r="T411" i="3"/>
  <c r="M455" i="3"/>
  <c r="N455" i="3" s="1"/>
  <c r="L456" i="3" s="1"/>
  <c r="U411" i="3" l="1"/>
  <c r="O412" i="3"/>
  <c r="D412" i="3"/>
  <c r="E412" i="3" s="1"/>
  <c r="C413" i="3" s="1"/>
  <c r="T412" i="3"/>
  <c r="M456" i="3"/>
  <c r="N456" i="3" s="1"/>
  <c r="L457" i="3" s="1"/>
  <c r="U412" i="3" l="1"/>
  <c r="O413" i="3"/>
  <c r="D413" i="3"/>
  <c r="E413" i="3" s="1"/>
  <c r="C414" i="3" s="1"/>
  <c r="T413" i="3"/>
  <c r="M457" i="3"/>
  <c r="N457" i="3" s="1"/>
  <c r="L458" i="3" s="1"/>
  <c r="U413" i="3" l="1"/>
  <c r="O414" i="3"/>
  <c r="D414" i="3"/>
  <c r="E414" i="3" s="1"/>
  <c r="C415" i="3" s="1"/>
  <c r="T414" i="3"/>
  <c r="M458" i="3"/>
  <c r="N458" i="3" s="1"/>
  <c r="L459" i="3" s="1"/>
  <c r="U414" i="3" l="1"/>
  <c r="O415" i="3"/>
  <c r="D415" i="3"/>
  <c r="E415" i="3" s="1"/>
  <c r="C416" i="3" s="1"/>
  <c r="T415" i="3"/>
  <c r="M459" i="3"/>
  <c r="N459" i="3" s="1"/>
  <c r="L460" i="3" s="1"/>
  <c r="U415" i="3" l="1"/>
  <c r="O416" i="3"/>
  <c r="D416" i="3"/>
  <c r="E416" i="3" s="1"/>
  <c r="C417" i="3" s="1"/>
  <c r="T416" i="3"/>
  <c r="M460" i="3"/>
  <c r="N460" i="3" s="1"/>
  <c r="L461" i="3" s="1"/>
  <c r="U416" i="3" l="1"/>
  <c r="O417" i="3"/>
  <c r="D417" i="3"/>
  <c r="E417" i="3" s="1"/>
  <c r="C418" i="3" s="1"/>
  <c r="T417" i="3"/>
  <c r="M461" i="3"/>
  <c r="N461" i="3" s="1"/>
  <c r="L462" i="3" s="1"/>
  <c r="U417" i="3" l="1"/>
  <c r="O418" i="3"/>
  <c r="D418" i="3"/>
  <c r="E418" i="3" s="1"/>
  <c r="C419" i="3" s="1"/>
  <c r="T418" i="3"/>
  <c r="M462" i="3"/>
  <c r="N462" i="3" s="1"/>
  <c r="L463" i="3" s="1"/>
  <c r="U418" i="3" l="1"/>
  <c r="O419" i="3"/>
  <c r="D419" i="3"/>
  <c r="E419" i="3" s="1"/>
  <c r="C420" i="3" s="1"/>
  <c r="T419" i="3"/>
  <c r="M463" i="3"/>
  <c r="N463" i="3" s="1"/>
  <c r="L464" i="3" s="1"/>
  <c r="U419" i="3" l="1"/>
  <c r="O420" i="3"/>
  <c r="D420" i="3"/>
  <c r="E420" i="3" s="1"/>
  <c r="C421" i="3" s="1"/>
  <c r="T420" i="3"/>
  <c r="M464" i="3"/>
  <c r="N464" i="3" s="1"/>
  <c r="L465" i="3" s="1"/>
  <c r="U420" i="3" l="1"/>
  <c r="O421" i="3"/>
  <c r="D421" i="3"/>
  <c r="E421" i="3" s="1"/>
  <c r="C422" i="3" s="1"/>
  <c r="T421" i="3"/>
  <c r="M465" i="3"/>
  <c r="N465" i="3" s="1"/>
  <c r="L466" i="3" s="1"/>
  <c r="U421" i="3" l="1"/>
  <c r="O422" i="3"/>
  <c r="D422" i="3"/>
  <c r="E422" i="3" s="1"/>
  <c r="C423" i="3" s="1"/>
  <c r="T422" i="3"/>
  <c r="M466" i="3"/>
  <c r="N466" i="3" s="1"/>
  <c r="L467" i="3" s="1"/>
  <c r="U422" i="3" l="1"/>
  <c r="O423" i="3"/>
  <c r="D423" i="3"/>
  <c r="E423" i="3" s="1"/>
  <c r="C424" i="3" s="1"/>
  <c r="T423" i="3"/>
  <c r="M467" i="3"/>
  <c r="N467" i="3" s="1"/>
  <c r="L468" i="3" s="1"/>
  <c r="U423" i="3" l="1"/>
  <c r="O424" i="3"/>
  <c r="D424" i="3"/>
  <c r="E424" i="3" s="1"/>
  <c r="C425" i="3" s="1"/>
  <c r="T424" i="3"/>
  <c r="M468" i="3"/>
  <c r="N468" i="3" s="1"/>
  <c r="L469" i="3" s="1"/>
  <c r="U424" i="3" l="1"/>
  <c r="O425" i="3"/>
  <c r="D425" i="3"/>
  <c r="E425" i="3" s="1"/>
  <c r="C426" i="3" s="1"/>
  <c r="T425" i="3"/>
  <c r="M469" i="3"/>
  <c r="N469" i="3" s="1"/>
  <c r="L470" i="3" s="1"/>
  <c r="U425" i="3" l="1"/>
  <c r="O426" i="3"/>
  <c r="D426" i="3"/>
  <c r="E426" i="3" s="1"/>
  <c r="C427" i="3" s="1"/>
  <c r="T426" i="3"/>
  <c r="M470" i="3"/>
  <c r="N470" i="3" s="1"/>
  <c r="L471" i="3" s="1"/>
  <c r="U426" i="3" l="1"/>
  <c r="O427" i="3"/>
  <c r="D427" i="3"/>
  <c r="E427" i="3" s="1"/>
  <c r="C428" i="3" s="1"/>
  <c r="T427" i="3"/>
  <c r="M471" i="3"/>
  <c r="N471" i="3" s="1"/>
  <c r="L472" i="3" s="1"/>
  <c r="U427" i="3" l="1"/>
  <c r="O428" i="3"/>
  <c r="D428" i="3"/>
  <c r="E428" i="3" s="1"/>
  <c r="C429" i="3" s="1"/>
  <c r="T428" i="3"/>
  <c r="M472" i="3"/>
  <c r="N472" i="3" s="1"/>
  <c r="L473" i="3" s="1"/>
  <c r="U428" i="3" l="1"/>
  <c r="O429" i="3"/>
  <c r="D429" i="3"/>
  <c r="E429" i="3" s="1"/>
  <c r="C430" i="3" s="1"/>
  <c r="T429" i="3"/>
  <c r="M473" i="3"/>
  <c r="N473" i="3" s="1"/>
  <c r="L474" i="3" s="1"/>
  <c r="U429" i="3" l="1"/>
  <c r="O430" i="3"/>
  <c r="D430" i="3"/>
  <c r="E430" i="3" s="1"/>
  <c r="C431" i="3" s="1"/>
  <c r="T430" i="3"/>
  <c r="M474" i="3"/>
  <c r="N474" i="3" s="1"/>
  <c r="L475" i="3" s="1"/>
  <c r="U430" i="3" l="1"/>
  <c r="O431" i="3"/>
  <c r="D431" i="3"/>
  <c r="E431" i="3" s="1"/>
  <c r="C432" i="3" s="1"/>
  <c r="T431" i="3"/>
  <c r="M475" i="3"/>
  <c r="N475" i="3" s="1"/>
  <c r="L476" i="3" s="1"/>
  <c r="U431" i="3" l="1"/>
  <c r="O432" i="3"/>
  <c r="D432" i="3"/>
  <c r="E432" i="3" s="1"/>
  <c r="C433" i="3" s="1"/>
  <c r="T432" i="3"/>
  <c r="M476" i="3"/>
  <c r="N476" i="3" s="1"/>
  <c r="L477" i="3" s="1"/>
  <c r="U432" i="3" l="1"/>
  <c r="O433" i="3"/>
  <c r="D433" i="3"/>
  <c r="E433" i="3" s="1"/>
  <c r="C434" i="3" s="1"/>
  <c r="T433" i="3"/>
  <c r="M477" i="3"/>
  <c r="N477" i="3" s="1"/>
  <c r="L478" i="3" s="1"/>
  <c r="U433" i="3" l="1"/>
  <c r="O434" i="3"/>
  <c r="D434" i="3"/>
  <c r="E434" i="3" s="1"/>
  <c r="C435" i="3" s="1"/>
  <c r="T434" i="3"/>
  <c r="M478" i="3"/>
  <c r="N478" i="3" s="1"/>
  <c r="L479" i="3" s="1"/>
  <c r="U434" i="3" l="1"/>
  <c r="O435" i="3"/>
  <c r="D435" i="3"/>
  <c r="E435" i="3" s="1"/>
  <c r="C436" i="3" s="1"/>
  <c r="T435" i="3"/>
  <c r="M479" i="3"/>
  <c r="N479" i="3" s="1"/>
  <c r="L480" i="3" s="1"/>
  <c r="U435" i="3" l="1"/>
  <c r="O436" i="3"/>
  <c r="D436" i="3"/>
  <c r="E436" i="3" s="1"/>
  <c r="C437" i="3" s="1"/>
  <c r="T436" i="3"/>
  <c r="M480" i="3"/>
  <c r="N480" i="3" s="1"/>
  <c r="L481" i="3" s="1"/>
  <c r="U436" i="3" l="1"/>
  <c r="O437" i="3"/>
  <c r="D437" i="3"/>
  <c r="E437" i="3" s="1"/>
  <c r="C438" i="3" s="1"/>
  <c r="T437" i="3"/>
  <c r="M481" i="3"/>
  <c r="N481" i="3" s="1"/>
  <c r="L482" i="3" s="1"/>
  <c r="U437" i="3" l="1"/>
  <c r="O438" i="3"/>
  <c r="D438" i="3"/>
  <c r="E438" i="3" s="1"/>
  <c r="C439" i="3" s="1"/>
  <c r="T438" i="3"/>
  <c r="M482" i="3"/>
  <c r="N482" i="3" s="1"/>
  <c r="L483" i="3" s="1"/>
  <c r="M483" i="3" s="1"/>
  <c r="N483" i="3" s="1"/>
  <c r="U438" i="3" l="1"/>
  <c r="O439" i="3"/>
  <c r="D439" i="3"/>
  <c r="E439" i="3" s="1"/>
  <c r="C440" i="3" s="1"/>
  <c r="T439" i="3"/>
  <c r="U439" i="3" l="1"/>
  <c r="O440" i="3"/>
  <c r="D440" i="3"/>
  <c r="E440" i="3" s="1"/>
  <c r="C441" i="3" s="1"/>
  <c r="T440" i="3"/>
  <c r="U440" i="3" l="1"/>
  <c r="O441" i="3"/>
  <c r="D441" i="3"/>
  <c r="E441" i="3" s="1"/>
  <c r="C442" i="3" s="1"/>
  <c r="T441" i="3"/>
  <c r="U441" i="3" l="1"/>
  <c r="O442" i="3"/>
  <c r="D442" i="3"/>
  <c r="E442" i="3" s="1"/>
  <c r="C443" i="3" s="1"/>
  <c r="T442" i="3"/>
  <c r="U442" i="3" l="1"/>
  <c r="O443" i="3"/>
  <c r="D443" i="3"/>
  <c r="E443" i="3" s="1"/>
  <c r="C444" i="3" s="1"/>
  <c r="T443" i="3"/>
  <c r="U443" i="3" l="1"/>
  <c r="O444" i="3"/>
  <c r="D444" i="3"/>
  <c r="E444" i="3" s="1"/>
  <c r="C445" i="3" s="1"/>
  <c r="T444" i="3"/>
  <c r="U444" i="3" l="1"/>
  <c r="O445" i="3"/>
  <c r="D445" i="3"/>
  <c r="E445" i="3" s="1"/>
  <c r="C446" i="3" s="1"/>
  <c r="T445" i="3"/>
  <c r="U445" i="3" l="1"/>
  <c r="O446" i="3"/>
  <c r="D446" i="3"/>
  <c r="E446" i="3" s="1"/>
  <c r="C447" i="3" s="1"/>
  <c r="T446" i="3"/>
  <c r="U446" i="3" l="1"/>
  <c r="O447" i="3"/>
  <c r="D447" i="3"/>
  <c r="E447" i="3" s="1"/>
  <c r="C448" i="3" s="1"/>
  <c r="T447" i="3"/>
  <c r="U447" i="3" l="1"/>
  <c r="O448" i="3"/>
  <c r="D448" i="3"/>
  <c r="E448" i="3" s="1"/>
  <c r="C449" i="3" s="1"/>
  <c r="T448" i="3"/>
  <c r="U448" i="3" l="1"/>
  <c r="O449" i="3"/>
  <c r="D449" i="3"/>
  <c r="E449" i="3" s="1"/>
  <c r="C450" i="3" s="1"/>
  <c r="T449" i="3"/>
  <c r="U449" i="3" l="1"/>
  <c r="O450" i="3"/>
  <c r="D450" i="3"/>
  <c r="E450" i="3" s="1"/>
  <c r="C451" i="3" s="1"/>
  <c r="T450" i="3"/>
  <c r="U450" i="3" l="1"/>
  <c r="O451" i="3"/>
  <c r="D451" i="3"/>
  <c r="E451" i="3" s="1"/>
  <c r="C452" i="3" s="1"/>
  <c r="T451" i="3"/>
  <c r="U451" i="3" l="1"/>
  <c r="O452" i="3"/>
  <c r="D452" i="3"/>
  <c r="E452" i="3" s="1"/>
  <c r="C453" i="3" s="1"/>
  <c r="T452" i="3"/>
  <c r="U452" i="3" l="1"/>
  <c r="O453" i="3"/>
  <c r="D453" i="3"/>
  <c r="E453" i="3" s="1"/>
  <c r="C454" i="3" s="1"/>
  <c r="T453" i="3"/>
  <c r="U453" i="3" l="1"/>
  <c r="O454" i="3"/>
  <c r="D454" i="3"/>
  <c r="E454" i="3" s="1"/>
  <c r="C455" i="3" s="1"/>
  <c r="T454" i="3"/>
  <c r="U454" i="3" l="1"/>
  <c r="O455" i="3"/>
  <c r="D455" i="3"/>
  <c r="E455" i="3" s="1"/>
  <c r="C456" i="3" s="1"/>
  <c r="T455" i="3"/>
  <c r="U455" i="3" l="1"/>
  <c r="O456" i="3"/>
  <c r="D456" i="3"/>
  <c r="E456" i="3" s="1"/>
  <c r="C457" i="3" s="1"/>
  <c r="T456" i="3"/>
  <c r="U456" i="3" l="1"/>
  <c r="O457" i="3"/>
  <c r="D457" i="3"/>
  <c r="E457" i="3" s="1"/>
  <c r="C458" i="3" s="1"/>
  <c r="T457" i="3"/>
  <c r="U457" i="3" l="1"/>
  <c r="O458" i="3"/>
  <c r="D458" i="3"/>
  <c r="E458" i="3" s="1"/>
  <c r="C459" i="3" s="1"/>
  <c r="T458" i="3"/>
  <c r="U458" i="3" l="1"/>
  <c r="O459" i="3"/>
  <c r="D459" i="3"/>
  <c r="E459" i="3" s="1"/>
  <c r="C460" i="3" s="1"/>
  <c r="T459" i="3"/>
  <c r="U459" i="3" l="1"/>
  <c r="O460" i="3"/>
  <c r="D460" i="3"/>
  <c r="E460" i="3" s="1"/>
  <c r="C461" i="3" s="1"/>
  <c r="T460" i="3"/>
  <c r="U460" i="3" l="1"/>
  <c r="O461" i="3"/>
  <c r="D461" i="3"/>
  <c r="E461" i="3" s="1"/>
  <c r="C462" i="3" s="1"/>
  <c r="T461" i="3"/>
  <c r="U461" i="3" l="1"/>
  <c r="O462" i="3"/>
  <c r="D462" i="3"/>
  <c r="E462" i="3" s="1"/>
  <c r="C463" i="3" s="1"/>
  <c r="T462" i="3"/>
  <c r="U462" i="3" l="1"/>
  <c r="O463" i="3"/>
  <c r="D463" i="3"/>
  <c r="E463" i="3" s="1"/>
  <c r="C464" i="3" s="1"/>
  <c r="T463" i="3"/>
  <c r="U463" i="3" l="1"/>
  <c r="O464" i="3"/>
  <c r="D464" i="3"/>
  <c r="E464" i="3" s="1"/>
  <c r="C465" i="3" s="1"/>
  <c r="T464" i="3"/>
  <c r="U464" i="3" l="1"/>
  <c r="O465" i="3"/>
  <c r="D465" i="3"/>
  <c r="E465" i="3" s="1"/>
  <c r="C466" i="3" s="1"/>
  <c r="T465" i="3"/>
  <c r="U465" i="3" l="1"/>
  <c r="O466" i="3"/>
  <c r="D466" i="3"/>
  <c r="E466" i="3" s="1"/>
  <c r="C467" i="3" s="1"/>
  <c r="T466" i="3"/>
  <c r="U466" i="3" l="1"/>
  <c r="O467" i="3"/>
  <c r="D467" i="3"/>
  <c r="E467" i="3" s="1"/>
  <c r="C468" i="3" s="1"/>
  <c r="T467" i="3"/>
  <c r="U467" i="3" l="1"/>
  <c r="O468" i="3"/>
  <c r="D468" i="3"/>
  <c r="E468" i="3" s="1"/>
  <c r="C469" i="3" s="1"/>
  <c r="T468" i="3"/>
  <c r="U468" i="3" l="1"/>
  <c r="O469" i="3"/>
  <c r="D469" i="3"/>
  <c r="E469" i="3" s="1"/>
  <c r="C470" i="3" s="1"/>
  <c r="T469" i="3"/>
  <c r="U469" i="3" l="1"/>
  <c r="O470" i="3"/>
  <c r="D470" i="3"/>
  <c r="E470" i="3" s="1"/>
  <c r="C471" i="3" s="1"/>
  <c r="T470" i="3"/>
  <c r="U470" i="3" l="1"/>
  <c r="O471" i="3"/>
  <c r="D471" i="3"/>
  <c r="E471" i="3" s="1"/>
  <c r="C472" i="3" s="1"/>
  <c r="T471" i="3"/>
  <c r="U471" i="3" l="1"/>
  <c r="O472" i="3"/>
  <c r="D472" i="3"/>
  <c r="E472" i="3" s="1"/>
  <c r="C473" i="3" s="1"/>
  <c r="T472" i="3"/>
  <c r="U472" i="3" l="1"/>
  <c r="O473" i="3"/>
  <c r="D473" i="3"/>
  <c r="E473" i="3" s="1"/>
  <c r="C474" i="3" s="1"/>
  <c r="T473" i="3"/>
  <c r="U473" i="3" l="1"/>
  <c r="O474" i="3"/>
  <c r="D474" i="3"/>
  <c r="E474" i="3" s="1"/>
  <c r="C475" i="3" s="1"/>
  <c r="T474" i="3"/>
  <c r="U474" i="3" l="1"/>
  <c r="O475" i="3"/>
  <c r="D475" i="3"/>
  <c r="E475" i="3" s="1"/>
  <c r="C476" i="3" s="1"/>
  <c r="T475" i="3"/>
  <c r="U475" i="3" l="1"/>
  <c r="O476" i="3"/>
  <c r="D476" i="3"/>
  <c r="E476" i="3" s="1"/>
  <c r="C477" i="3" s="1"/>
  <c r="T476" i="3"/>
  <c r="U476" i="3" l="1"/>
  <c r="O477" i="3"/>
  <c r="D477" i="3"/>
  <c r="E477" i="3" s="1"/>
  <c r="C478" i="3" s="1"/>
  <c r="T477" i="3"/>
  <c r="U477" i="3" l="1"/>
  <c r="O478" i="3"/>
  <c r="D478" i="3"/>
  <c r="E478" i="3" s="1"/>
  <c r="C479" i="3" s="1"/>
  <c r="T478" i="3"/>
  <c r="U478" i="3" l="1"/>
  <c r="O479" i="3"/>
  <c r="D479" i="3"/>
  <c r="E479" i="3" s="1"/>
  <c r="C480" i="3" s="1"/>
  <c r="T479" i="3"/>
  <c r="U479" i="3" l="1"/>
  <c r="O480" i="3"/>
  <c r="D480" i="3"/>
  <c r="E480" i="3" s="1"/>
  <c r="C481" i="3" s="1"/>
  <c r="T480" i="3"/>
  <c r="U480" i="3" l="1"/>
  <c r="O481" i="3"/>
  <c r="D481" i="3"/>
  <c r="E481" i="3" s="1"/>
  <c r="C482" i="3" s="1"/>
  <c r="T481" i="3"/>
  <c r="U481" i="3" l="1"/>
  <c r="O482" i="3"/>
  <c r="D482" i="3"/>
  <c r="E482" i="3" s="1"/>
  <c r="C483" i="3" s="1"/>
  <c r="T482" i="3"/>
  <c r="U482" i="3" l="1"/>
  <c r="O483" i="3"/>
  <c r="U483" i="3" s="1"/>
  <c r="T483" i="3"/>
  <c r="D483" i="3"/>
  <c r="E483" i="3" s="1"/>
</calcChain>
</file>

<file path=xl/sharedStrings.xml><?xml version="1.0" encoding="utf-8"?>
<sst xmlns="http://schemas.openxmlformats.org/spreadsheetml/2006/main" count="289" uniqueCount="120">
  <si>
    <t>Ich bin fix und Fertig, Haus!</t>
  </si>
  <si>
    <t>Position</t>
  </si>
  <si>
    <t>Grundstückspreis</t>
  </si>
  <si>
    <t>Grunderwerbssteuer</t>
  </si>
  <si>
    <t>Grundstück</t>
  </si>
  <si>
    <t>Stadt Bearbeitungsgebühr</t>
  </si>
  <si>
    <t>Notar, Kauf d. Grundstücks (ca 1%)</t>
  </si>
  <si>
    <t>Notar, Grundbuchänderung</t>
  </si>
  <si>
    <t>erledigt [%]</t>
  </si>
  <si>
    <t>Summe</t>
  </si>
  <si>
    <t>bereits bezahlt [€]</t>
  </si>
  <si>
    <t>Kosten [€]</t>
  </si>
  <si>
    <t>Statd, Grundbuchänderung</t>
  </si>
  <si>
    <t>Garage &amp; Solar</t>
  </si>
  <si>
    <t>Solaranlage</t>
  </si>
  <si>
    <t>Bodenplatte</t>
  </si>
  <si>
    <t xml:space="preserve">Garage </t>
  </si>
  <si>
    <t>Vermesser</t>
  </si>
  <si>
    <t>Baunebenkosten</t>
  </si>
  <si>
    <t>Terrasse</t>
  </si>
  <si>
    <t>Pflasterarbeiten</t>
  </si>
  <si>
    <t>Zaun</t>
  </si>
  <si>
    <t>Maulwurfsperre</t>
  </si>
  <si>
    <t>Rasen</t>
  </si>
  <si>
    <t>Rasen verlegen</t>
  </si>
  <si>
    <t>Vorgarten</t>
  </si>
  <si>
    <t>Garage und Solar</t>
  </si>
  <si>
    <t>Möbel</t>
  </si>
  <si>
    <t>Haus</t>
  </si>
  <si>
    <t>Projektpreis</t>
  </si>
  <si>
    <t>Erdarbeiten</t>
  </si>
  <si>
    <t>Baustelleneinrichtung</t>
  </si>
  <si>
    <t>Abtragen Grasnarbe</t>
  </si>
  <si>
    <t>30 cm Mutterboden auf Grundstück</t>
  </si>
  <si>
    <t>Auskoffern Bodenplatte</t>
  </si>
  <si>
    <t>Auskoffern Einfahrt, Garage</t>
  </si>
  <si>
    <t>Nachverdichten</t>
  </si>
  <si>
    <t>Geotextil</t>
  </si>
  <si>
    <t>Ringerder &amp; Klemmen</t>
  </si>
  <si>
    <t>Füllkies Haus</t>
  </si>
  <si>
    <t>Füllkies Einfarht, Garage</t>
  </si>
  <si>
    <t>Lastplattendruckversuch</t>
  </si>
  <si>
    <t>Erdleitungen</t>
  </si>
  <si>
    <t>Regenwasser Leitungen</t>
  </si>
  <si>
    <t>Schmutzwasserleitungen</t>
  </si>
  <si>
    <t>Revisionsschacht</t>
  </si>
  <si>
    <t>Kanalanschluss</t>
  </si>
  <si>
    <t>Druckprobe</t>
  </si>
  <si>
    <t>Anschlüsse</t>
  </si>
  <si>
    <t>Toilette</t>
  </si>
  <si>
    <t>Mehrsparte</t>
  </si>
  <si>
    <t>Telekom</t>
  </si>
  <si>
    <t>Stadtwerke Wasseranschluss</t>
  </si>
  <si>
    <t>Installation Baustrom</t>
  </si>
  <si>
    <t>6 Monate Baustrrom</t>
  </si>
  <si>
    <t>Miete Baustromkasten</t>
  </si>
  <si>
    <t>Stromanschluss Stadtwerke</t>
  </si>
  <si>
    <t>Bauwassser</t>
  </si>
  <si>
    <t>Sichern der Baustelle</t>
  </si>
  <si>
    <t>Stadt Straßensperrung</t>
  </si>
  <si>
    <t>Entkalkungs anlage</t>
  </si>
  <si>
    <t>Ablauf</t>
  </si>
  <si>
    <t>Installateur</t>
  </si>
  <si>
    <t>Garten</t>
  </si>
  <si>
    <t>Waschmaschine Trockner</t>
  </si>
  <si>
    <t>Küche</t>
  </si>
  <si>
    <t>Sofa</t>
  </si>
  <si>
    <t>Beistelltisch</t>
  </si>
  <si>
    <t>TV</t>
  </si>
  <si>
    <t>TV-Bank</t>
  </si>
  <si>
    <t>Esstisch</t>
  </si>
  <si>
    <t>6 Stühle</t>
  </si>
  <si>
    <t>2 Schränke</t>
  </si>
  <si>
    <t>Schreibtisch</t>
  </si>
  <si>
    <t>Bürosessel</t>
  </si>
  <si>
    <t>Regale</t>
  </si>
  <si>
    <t>Bett</t>
  </si>
  <si>
    <t>8 Schränke</t>
  </si>
  <si>
    <t>2 Kinderbatten</t>
  </si>
  <si>
    <t>Regale Speilsachen</t>
  </si>
  <si>
    <t>2 Badschränke</t>
  </si>
  <si>
    <t>2 Liegen</t>
  </si>
  <si>
    <t>4 Gartenstühle</t>
  </si>
  <si>
    <t>Gartentisch</t>
  </si>
  <si>
    <t>12 Deckenlampen</t>
  </si>
  <si>
    <t>Vitrine</t>
  </si>
  <si>
    <t>2 Spiegelschrank</t>
  </si>
  <si>
    <t>2 Duschkabine/tür</t>
  </si>
  <si>
    <t>Perimeterdämmung</t>
  </si>
  <si>
    <t>Gutachter QNG</t>
  </si>
  <si>
    <t>Kniestockerhöhung</t>
  </si>
  <si>
    <t>Ausführung in 2,80m</t>
  </si>
  <si>
    <t>Darlehen</t>
  </si>
  <si>
    <t>Eigenkapital</t>
  </si>
  <si>
    <t>Zinssatz [%]</t>
  </si>
  <si>
    <t>Darlehen [Euro]</t>
  </si>
  <si>
    <t>Gemeinsames Einkommen (Netto) [Euro]</t>
  </si>
  <si>
    <t>Jahr</t>
  </si>
  <si>
    <t>Rate</t>
  </si>
  <si>
    <t>Tilgung</t>
  </si>
  <si>
    <t>Rate [Euro / Monat]</t>
  </si>
  <si>
    <t>Tilgung [%]</t>
  </si>
  <si>
    <t>Restschuld</t>
  </si>
  <si>
    <t xml:space="preserve">Nebenrechung Zinsen </t>
  </si>
  <si>
    <t>Restbetrag</t>
  </si>
  <si>
    <t>Zinsbetrag</t>
  </si>
  <si>
    <t>Tilgungsbetrag</t>
  </si>
  <si>
    <t>Variante ohne Sparen</t>
  </si>
  <si>
    <t>Angespart</t>
  </si>
  <si>
    <t>Sparrendite [%]</t>
  </si>
  <si>
    <t>Variante mit Sparen 30% der Rate</t>
  </si>
  <si>
    <t>Monat</t>
  </si>
  <si>
    <t>Rate minus 30%</t>
  </si>
  <si>
    <t>Sparrate</t>
  </si>
  <si>
    <t>Gespart</t>
  </si>
  <si>
    <t>Variante 1</t>
  </si>
  <si>
    <t>Variante 2</t>
  </si>
  <si>
    <t>Für die Grafik</t>
  </si>
  <si>
    <t>Jahre</t>
  </si>
  <si>
    <t>Grunderwerbssteuer Prozentsatz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</si>
</sst>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ptos Narrow"/>
      <family val="2"/>
      <scheme val="minor"/>
    </font>
    <font>
      <sz val="16"/>
      <color theme="1"/>
      <name val="Futura Bold"/>
    </font>
    <font>
      <b/>
      <sz val="12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20"/>
      <color theme="0"/>
      <name val="Aptos Narrow"/>
      <scheme val="minor"/>
    </font>
    <font>
      <b/>
      <sz val="20"/>
      <color theme="1"/>
      <name val="Aptos Narrow"/>
      <scheme val="minor"/>
    </font>
    <font>
      <b/>
      <u val="double"/>
      <sz val="20"/>
      <color theme="1"/>
      <name val="Aptos Narrow"/>
      <scheme val="minor"/>
    </font>
    <font>
      <b/>
      <u val="double"/>
      <sz val="22"/>
      <color theme="1"/>
      <name val="Aptos Narrow"/>
      <scheme val="minor"/>
    </font>
    <font>
      <b/>
      <u val="double"/>
      <sz val="22"/>
      <color rgb="FFFF0000"/>
      <name val="Aptos Narrow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8"/>
      <color theme="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6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0" applyFont="1"/>
    <xf numFmtId="0" fontId="0" fillId="7" borderId="0" xfId="0" applyFill="1"/>
    <xf numFmtId="0" fontId="11" fillId="5" borderId="0" xfId="0" applyFont="1" applyFill="1"/>
    <xf numFmtId="0" fontId="12" fillId="8" borderId="0" xfId="0" applyFont="1" applyFill="1"/>
    <xf numFmtId="2" fontId="5" fillId="7" borderId="0" xfId="0" applyNumberFormat="1" applyFont="1" applyFill="1"/>
    <xf numFmtId="2" fontId="11" fillId="7" borderId="0" xfId="0" applyNumberFormat="1" applyFont="1" applyFill="1"/>
    <xf numFmtId="2" fontId="11" fillId="5" borderId="0" xfId="0" applyNumberFormat="1" applyFont="1" applyFill="1"/>
    <xf numFmtId="2" fontId="0" fillId="0" borderId="0" xfId="0" applyNumberFormat="1"/>
    <xf numFmtId="0" fontId="9" fillId="5" borderId="0" xfId="0" applyFont="1" applyFill="1"/>
    <xf numFmtId="2" fontId="0" fillId="7" borderId="0" xfId="0" applyNumberFormat="1" applyFill="1"/>
    <xf numFmtId="164" fontId="0" fillId="0" borderId="0" xfId="0" applyNumberFormat="1"/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Vergleich der Varianten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Zinseszinz!$T$3</c:f>
              <c:strCache>
                <c:ptCount val="1"/>
                <c:pt idx="0">
                  <c:v>Variante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Zinseszinz!$S$4:$S$483</c:f>
              <c:numCache>
                <c:formatCode>0.0</c:formatCode>
                <c:ptCount val="480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  <c:pt idx="379">
                  <c:v>31.666666666666668</c:v>
                </c:pt>
                <c:pt idx="380">
                  <c:v>31.75</c:v>
                </c:pt>
                <c:pt idx="381">
                  <c:v>31.833333333333332</c:v>
                </c:pt>
                <c:pt idx="382">
                  <c:v>31.916666666666668</c:v>
                </c:pt>
                <c:pt idx="383">
                  <c:v>32</c:v>
                </c:pt>
                <c:pt idx="384">
                  <c:v>32.083333333333336</c:v>
                </c:pt>
                <c:pt idx="385">
                  <c:v>32.166666666666664</c:v>
                </c:pt>
                <c:pt idx="386">
                  <c:v>32.25</c:v>
                </c:pt>
                <c:pt idx="387">
                  <c:v>32.333333333333336</c:v>
                </c:pt>
                <c:pt idx="388">
                  <c:v>32.416666666666664</c:v>
                </c:pt>
                <c:pt idx="389">
                  <c:v>32.5</c:v>
                </c:pt>
                <c:pt idx="390">
                  <c:v>32.583333333333336</c:v>
                </c:pt>
                <c:pt idx="391">
                  <c:v>32.666666666666664</c:v>
                </c:pt>
                <c:pt idx="392">
                  <c:v>32.75</c:v>
                </c:pt>
                <c:pt idx="393">
                  <c:v>32.833333333333336</c:v>
                </c:pt>
                <c:pt idx="394">
                  <c:v>32.916666666666664</c:v>
                </c:pt>
                <c:pt idx="395">
                  <c:v>33</c:v>
                </c:pt>
                <c:pt idx="396">
                  <c:v>33.083333333333336</c:v>
                </c:pt>
                <c:pt idx="397">
                  <c:v>33.166666666666664</c:v>
                </c:pt>
                <c:pt idx="398">
                  <c:v>33.25</c:v>
                </c:pt>
                <c:pt idx="399">
                  <c:v>33.333333333333336</c:v>
                </c:pt>
                <c:pt idx="400">
                  <c:v>33.416666666666664</c:v>
                </c:pt>
                <c:pt idx="401">
                  <c:v>33.5</c:v>
                </c:pt>
                <c:pt idx="402">
                  <c:v>33.583333333333336</c:v>
                </c:pt>
                <c:pt idx="403">
                  <c:v>33.666666666666664</c:v>
                </c:pt>
                <c:pt idx="404">
                  <c:v>33.75</c:v>
                </c:pt>
                <c:pt idx="405">
                  <c:v>33.833333333333336</c:v>
                </c:pt>
                <c:pt idx="406">
                  <c:v>33.916666666666664</c:v>
                </c:pt>
                <c:pt idx="407">
                  <c:v>34</c:v>
                </c:pt>
                <c:pt idx="408">
                  <c:v>34.083333333333336</c:v>
                </c:pt>
                <c:pt idx="409">
                  <c:v>34.166666666666664</c:v>
                </c:pt>
                <c:pt idx="410">
                  <c:v>34.25</c:v>
                </c:pt>
                <c:pt idx="411">
                  <c:v>34.333333333333336</c:v>
                </c:pt>
                <c:pt idx="412">
                  <c:v>34.416666666666664</c:v>
                </c:pt>
                <c:pt idx="413">
                  <c:v>34.5</c:v>
                </c:pt>
                <c:pt idx="414">
                  <c:v>34.583333333333336</c:v>
                </c:pt>
                <c:pt idx="415">
                  <c:v>34.666666666666664</c:v>
                </c:pt>
                <c:pt idx="416">
                  <c:v>34.75</c:v>
                </c:pt>
                <c:pt idx="417">
                  <c:v>34.833333333333336</c:v>
                </c:pt>
                <c:pt idx="418">
                  <c:v>34.916666666666664</c:v>
                </c:pt>
                <c:pt idx="419">
                  <c:v>35</c:v>
                </c:pt>
                <c:pt idx="420">
                  <c:v>35.083333333333336</c:v>
                </c:pt>
                <c:pt idx="421">
                  <c:v>35.166666666666664</c:v>
                </c:pt>
                <c:pt idx="422">
                  <c:v>35.25</c:v>
                </c:pt>
                <c:pt idx="423">
                  <c:v>35.333333333333336</c:v>
                </c:pt>
                <c:pt idx="424">
                  <c:v>35.416666666666664</c:v>
                </c:pt>
                <c:pt idx="425">
                  <c:v>35.5</c:v>
                </c:pt>
                <c:pt idx="426">
                  <c:v>35.583333333333336</c:v>
                </c:pt>
                <c:pt idx="427">
                  <c:v>35.666666666666664</c:v>
                </c:pt>
                <c:pt idx="428">
                  <c:v>35.75</c:v>
                </c:pt>
                <c:pt idx="429">
                  <c:v>35.833333333333336</c:v>
                </c:pt>
                <c:pt idx="430">
                  <c:v>35.916666666666664</c:v>
                </c:pt>
                <c:pt idx="431">
                  <c:v>36</c:v>
                </c:pt>
                <c:pt idx="432">
                  <c:v>36.083333333333336</c:v>
                </c:pt>
                <c:pt idx="433">
                  <c:v>36.166666666666664</c:v>
                </c:pt>
                <c:pt idx="434">
                  <c:v>36.25</c:v>
                </c:pt>
                <c:pt idx="435">
                  <c:v>36.333333333333336</c:v>
                </c:pt>
                <c:pt idx="436">
                  <c:v>36.416666666666664</c:v>
                </c:pt>
                <c:pt idx="437">
                  <c:v>36.5</c:v>
                </c:pt>
                <c:pt idx="438">
                  <c:v>36.583333333333336</c:v>
                </c:pt>
                <c:pt idx="439">
                  <c:v>36.666666666666664</c:v>
                </c:pt>
                <c:pt idx="440">
                  <c:v>36.75</c:v>
                </c:pt>
                <c:pt idx="441">
                  <c:v>36.833333333333336</c:v>
                </c:pt>
                <c:pt idx="442">
                  <c:v>36.916666666666664</c:v>
                </c:pt>
                <c:pt idx="443">
                  <c:v>37</c:v>
                </c:pt>
                <c:pt idx="444">
                  <c:v>37.083333333333336</c:v>
                </c:pt>
                <c:pt idx="445">
                  <c:v>37.166666666666664</c:v>
                </c:pt>
                <c:pt idx="446">
                  <c:v>37.25</c:v>
                </c:pt>
                <c:pt idx="447">
                  <c:v>37.333333333333336</c:v>
                </c:pt>
                <c:pt idx="448">
                  <c:v>37.416666666666664</c:v>
                </c:pt>
                <c:pt idx="449">
                  <c:v>37.5</c:v>
                </c:pt>
                <c:pt idx="450">
                  <c:v>37.583333333333336</c:v>
                </c:pt>
                <c:pt idx="451">
                  <c:v>37.666666666666664</c:v>
                </c:pt>
                <c:pt idx="452">
                  <c:v>37.75</c:v>
                </c:pt>
                <c:pt idx="453">
                  <c:v>37.833333333333336</c:v>
                </c:pt>
                <c:pt idx="454">
                  <c:v>37.916666666666664</c:v>
                </c:pt>
                <c:pt idx="455">
                  <c:v>38</c:v>
                </c:pt>
                <c:pt idx="456">
                  <c:v>38.083333333333336</c:v>
                </c:pt>
                <c:pt idx="457">
                  <c:v>38.166666666666664</c:v>
                </c:pt>
                <c:pt idx="458">
                  <c:v>38.25</c:v>
                </c:pt>
                <c:pt idx="459">
                  <c:v>38.333333333333336</c:v>
                </c:pt>
                <c:pt idx="460">
                  <c:v>38.416666666666664</c:v>
                </c:pt>
                <c:pt idx="461">
                  <c:v>38.5</c:v>
                </c:pt>
                <c:pt idx="462">
                  <c:v>38.583333333333336</c:v>
                </c:pt>
                <c:pt idx="463">
                  <c:v>38.666666666666664</c:v>
                </c:pt>
                <c:pt idx="464">
                  <c:v>38.75</c:v>
                </c:pt>
                <c:pt idx="465">
                  <c:v>38.833333333333336</c:v>
                </c:pt>
                <c:pt idx="466">
                  <c:v>38.916666666666664</c:v>
                </c:pt>
                <c:pt idx="467">
                  <c:v>39</c:v>
                </c:pt>
                <c:pt idx="468">
                  <c:v>39.083333333333336</c:v>
                </c:pt>
                <c:pt idx="469">
                  <c:v>39.166666666666664</c:v>
                </c:pt>
                <c:pt idx="470">
                  <c:v>39.25</c:v>
                </c:pt>
                <c:pt idx="471">
                  <c:v>39.333333333333336</c:v>
                </c:pt>
                <c:pt idx="472">
                  <c:v>39.416666666666664</c:v>
                </c:pt>
                <c:pt idx="473">
                  <c:v>39.5</c:v>
                </c:pt>
                <c:pt idx="474">
                  <c:v>39.583333333333336</c:v>
                </c:pt>
                <c:pt idx="475">
                  <c:v>39.666666666666664</c:v>
                </c:pt>
                <c:pt idx="476">
                  <c:v>39.75</c:v>
                </c:pt>
                <c:pt idx="477">
                  <c:v>39.833333333333336</c:v>
                </c:pt>
                <c:pt idx="478">
                  <c:v>39.916666666666664</c:v>
                </c:pt>
                <c:pt idx="479">
                  <c:v>40</c:v>
                </c:pt>
              </c:numCache>
            </c:numRef>
          </c:cat>
          <c:val>
            <c:numRef>
              <c:f>Zinseszinz!$T$4:$T$483</c:f>
              <c:numCache>
                <c:formatCode>0.00</c:formatCode>
                <c:ptCount val="480"/>
                <c:pt idx="0">
                  <c:v>-799000</c:v>
                </c:pt>
                <c:pt idx="1">
                  <c:v>-797930.66666666663</c:v>
                </c:pt>
                <c:pt idx="2">
                  <c:v>-796858.48177777778</c:v>
                </c:pt>
                <c:pt idx="3">
                  <c:v>-795783.43772918521</c:v>
                </c:pt>
                <c:pt idx="4">
                  <c:v>-794705.52689646301</c:v>
                </c:pt>
                <c:pt idx="5">
                  <c:v>-793624.74163485353</c:v>
                </c:pt>
                <c:pt idx="6">
                  <c:v>-792541.07427921309</c:v>
                </c:pt>
                <c:pt idx="7">
                  <c:v>-791454.51714395767</c:v>
                </c:pt>
                <c:pt idx="8">
                  <c:v>-790365.06252300821</c:v>
                </c:pt>
                <c:pt idx="9">
                  <c:v>-789272.70268973627</c:v>
                </c:pt>
                <c:pt idx="10">
                  <c:v>-788177.42989690893</c:v>
                </c:pt>
                <c:pt idx="11">
                  <c:v>-787079.23637663398</c:v>
                </c:pt>
                <c:pt idx="12">
                  <c:v>-785978.11434030498</c:v>
                </c:pt>
                <c:pt idx="13">
                  <c:v>-784874.0559785458</c:v>
                </c:pt>
                <c:pt idx="14">
                  <c:v>-783767.05346115527</c:v>
                </c:pt>
                <c:pt idx="15">
                  <c:v>-782657.09893705172</c:v>
                </c:pt>
                <c:pt idx="16">
                  <c:v>-781544.18453421723</c:v>
                </c:pt>
                <c:pt idx="17">
                  <c:v>-780428.30235964176</c:v>
                </c:pt>
                <c:pt idx="18">
                  <c:v>-779309.4444992675</c:v>
                </c:pt>
                <c:pt idx="19">
                  <c:v>-778187.60301793215</c:v>
                </c:pt>
                <c:pt idx="20">
                  <c:v>-777062.76995931333</c:v>
                </c:pt>
                <c:pt idx="21">
                  <c:v>-775934.93734587147</c:v>
                </c:pt>
                <c:pt idx="22">
                  <c:v>-774804.09717879375</c:v>
                </c:pt>
                <c:pt idx="23">
                  <c:v>-773670.24143793725</c:v>
                </c:pt>
                <c:pt idx="24">
                  <c:v>-772533.36208177172</c:v>
                </c:pt>
                <c:pt idx="25">
                  <c:v>-771393.45104732306</c:v>
                </c:pt>
                <c:pt idx="26">
                  <c:v>-770250.50025011587</c:v>
                </c:pt>
                <c:pt idx="27">
                  <c:v>-769104.50158411614</c:v>
                </c:pt>
                <c:pt idx="28">
                  <c:v>-767955.44692167384</c:v>
                </c:pt>
                <c:pt idx="29">
                  <c:v>-766803.32811346499</c:v>
                </c:pt>
                <c:pt idx="30">
                  <c:v>-765648.13698843424</c:v>
                </c:pt>
                <c:pt idx="31">
                  <c:v>-764489.86535373668</c:v>
                </c:pt>
                <c:pt idx="32">
                  <c:v>-763328.50499467994</c:v>
                </c:pt>
                <c:pt idx="33">
                  <c:v>-762164.04767466581</c:v>
                </c:pt>
                <c:pt idx="34">
                  <c:v>-760996.48513513163</c:v>
                </c:pt>
                <c:pt idx="35">
                  <c:v>-759825.809095492</c:v>
                </c:pt>
                <c:pt idx="36">
                  <c:v>-758652.01125307998</c:v>
                </c:pt>
                <c:pt idx="37">
                  <c:v>-757475.08328308817</c:v>
                </c:pt>
                <c:pt idx="38">
                  <c:v>-756295.01683850971</c:v>
                </c:pt>
                <c:pt idx="39">
                  <c:v>-755111.80355007912</c:v>
                </c:pt>
                <c:pt idx="40">
                  <c:v>-753925.43502621271</c:v>
                </c:pt>
                <c:pt idx="41">
                  <c:v>-752735.90285294922</c:v>
                </c:pt>
                <c:pt idx="42">
                  <c:v>-751543.19859389041</c:v>
                </c:pt>
                <c:pt idx="43">
                  <c:v>-750347.31379014079</c:v>
                </c:pt>
                <c:pt idx="44">
                  <c:v>-749148.23996024788</c:v>
                </c:pt>
                <c:pt idx="45">
                  <c:v>-747945.96860014193</c:v>
                </c:pt>
                <c:pt idx="46">
                  <c:v>-746740.49118307559</c:v>
                </c:pt>
                <c:pt idx="47">
                  <c:v>-745531.79915956385</c:v>
                </c:pt>
                <c:pt idx="48">
                  <c:v>-744319.88395732269</c:v>
                </c:pt>
                <c:pt idx="49">
                  <c:v>-743104.7369812089</c:v>
                </c:pt>
                <c:pt idx="50">
                  <c:v>-741886.34961315885</c:v>
                </c:pt>
                <c:pt idx="51">
                  <c:v>-740664.71321212722</c:v>
                </c:pt>
                <c:pt idx="52">
                  <c:v>-739439.81911402626</c:v>
                </c:pt>
                <c:pt idx="53">
                  <c:v>-738211.65863166365</c:v>
                </c:pt>
                <c:pt idx="54">
                  <c:v>-736980.22305468144</c:v>
                </c:pt>
                <c:pt idx="55">
                  <c:v>-735745.50364949391</c:v>
                </c:pt>
                <c:pt idx="56">
                  <c:v>-734507.4916592259</c:v>
                </c:pt>
                <c:pt idx="57">
                  <c:v>-733266.17830365046</c:v>
                </c:pt>
                <c:pt idx="58">
                  <c:v>-732021.55477912689</c:v>
                </c:pt>
                <c:pt idx="59">
                  <c:v>-730773.61225853791</c:v>
                </c:pt>
                <c:pt idx="60">
                  <c:v>-729522.34189122729</c:v>
                </c:pt>
                <c:pt idx="61">
                  <c:v>-728267.73480293725</c:v>
                </c:pt>
                <c:pt idx="62">
                  <c:v>-727009.78209574509</c:v>
                </c:pt>
                <c:pt idx="63">
                  <c:v>-725748.47484800045</c:v>
                </c:pt>
                <c:pt idx="64">
                  <c:v>-724483.80411426176</c:v>
                </c:pt>
                <c:pt idx="65">
                  <c:v>-723215.76092523313</c:v>
                </c:pt>
                <c:pt idx="66">
                  <c:v>-721944.33628770045</c:v>
                </c:pt>
                <c:pt idx="67">
                  <c:v>-720669.52118446771</c:v>
                </c:pt>
                <c:pt idx="68">
                  <c:v>-719391.30657429295</c:v>
                </c:pt>
                <c:pt idx="69">
                  <c:v>-718109.68339182436</c:v>
                </c:pt>
                <c:pt idx="70">
                  <c:v>-716824.64254753594</c:v>
                </c:pt>
                <c:pt idx="71">
                  <c:v>-715536.17492766271</c:v>
                </c:pt>
                <c:pt idx="72">
                  <c:v>-714244.27139413648</c:v>
                </c:pt>
                <c:pt idx="73">
                  <c:v>-712948.9227845209</c:v>
                </c:pt>
                <c:pt idx="74">
                  <c:v>-711650.11991194624</c:v>
                </c:pt>
                <c:pt idx="75">
                  <c:v>-710347.85356504482</c:v>
                </c:pt>
                <c:pt idx="76">
                  <c:v>-709042.11450788495</c:v>
                </c:pt>
                <c:pt idx="77">
                  <c:v>-707732.89347990602</c:v>
                </c:pt>
                <c:pt idx="78">
                  <c:v>-706420.18119585246</c:v>
                </c:pt>
                <c:pt idx="79">
                  <c:v>-705103.9683457081</c:v>
                </c:pt>
                <c:pt idx="80">
                  <c:v>-703784.24559463002</c:v>
                </c:pt>
                <c:pt idx="81">
                  <c:v>-702461.00358288235</c:v>
                </c:pt>
                <c:pt idx="82">
                  <c:v>-701134.23292576999</c:v>
                </c:pt>
                <c:pt idx="83">
                  <c:v>-699803.92421357206</c:v>
                </c:pt>
                <c:pt idx="84">
                  <c:v>-698470.06801147491</c:v>
                </c:pt>
                <c:pt idx="85">
                  <c:v>-697132.65485950548</c:v>
                </c:pt>
                <c:pt idx="86">
                  <c:v>-695791.67527246417</c:v>
                </c:pt>
                <c:pt idx="87">
                  <c:v>-694447.11973985739</c:v>
                </c:pt>
                <c:pt idx="88">
                  <c:v>-693098.97872583033</c:v>
                </c:pt>
                <c:pt idx="89">
                  <c:v>-691747.24266909924</c:v>
                </c:pt>
                <c:pt idx="90">
                  <c:v>-690391.90198288346</c:v>
                </c:pt>
                <c:pt idx="91">
                  <c:v>-689032.94705483783</c:v>
                </c:pt>
                <c:pt idx="92">
                  <c:v>-687670.36824698409</c:v>
                </c:pt>
                <c:pt idx="93">
                  <c:v>-686304.1558956427</c:v>
                </c:pt>
                <c:pt idx="94">
                  <c:v>-684934.30031136447</c:v>
                </c:pt>
                <c:pt idx="95">
                  <c:v>-683560.79177886143</c:v>
                </c:pt>
                <c:pt idx="96">
                  <c:v>-682183.62055693835</c:v>
                </c:pt>
                <c:pt idx="97">
                  <c:v>-680802.77687842352</c:v>
                </c:pt>
                <c:pt idx="98">
                  <c:v>-679418.25095009932</c:v>
                </c:pt>
                <c:pt idx="99">
                  <c:v>-678030.03295263287</c:v>
                </c:pt>
                <c:pt idx="100">
                  <c:v>-676638.11304050661</c:v>
                </c:pt>
                <c:pt idx="101">
                  <c:v>-675242.48134194792</c:v>
                </c:pt>
                <c:pt idx="102">
                  <c:v>-673843.12795885978</c:v>
                </c:pt>
                <c:pt idx="103">
                  <c:v>-672440.0429667501</c:v>
                </c:pt>
                <c:pt idx="104">
                  <c:v>-671033.21641466138</c:v>
                </c:pt>
                <c:pt idx="105">
                  <c:v>-669622.63832510053</c:v>
                </c:pt>
                <c:pt idx="106">
                  <c:v>-668208.29869396752</c:v>
                </c:pt>
                <c:pt idx="107">
                  <c:v>-666790.18749048479</c:v>
                </c:pt>
                <c:pt idx="108">
                  <c:v>-665368.29465712607</c:v>
                </c:pt>
                <c:pt idx="109">
                  <c:v>-663942.61010954506</c:v>
                </c:pt>
                <c:pt idx="110">
                  <c:v>-662513.12373650388</c:v>
                </c:pt>
                <c:pt idx="111">
                  <c:v>-661079.82539980125</c:v>
                </c:pt>
                <c:pt idx="112">
                  <c:v>-659642.70493420074</c:v>
                </c:pt>
                <c:pt idx="113">
                  <c:v>-658201.75214735861</c:v>
                </c:pt>
                <c:pt idx="114">
                  <c:v>-656756.95681975153</c:v>
                </c:pt>
                <c:pt idx="115">
                  <c:v>-655308.30870460416</c:v>
                </c:pt>
                <c:pt idx="116">
                  <c:v>-653855.7975278165</c:v>
                </c:pt>
                <c:pt idx="117">
                  <c:v>-652399.41298789065</c:v>
                </c:pt>
                <c:pt idx="118">
                  <c:v>-650939.14475585835</c:v>
                </c:pt>
                <c:pt idx="119">
                  <c:v>-649474.9824752073</c:v>
                </c:pt>
                <c:pt idx="120">
                  <c:v>-648006.91576180782</c:v>
                </c:pt>
                <c:pt idx="121">
                  <c:v>-646534.93420383928</c:v>
                </c:pt>
                <c:pt idx="122">
                  <c:v>-645059.02736171614</c:v>
                </c:pt>
                <c:pt idx="123">
                  <c:v>-643579.18476801401</c:v>
                </c:pt>
                <c:pt idx="124">
                  <c:v>-642095.39592739532</c:v>
                </c:pt>
                <c:pt idx="125">
                  <c:v>-640607.65031653503</c:v>
                </c:pt>
                <c:pt idx="126">
                  <c:v>-639115.9373840458</c:v>
                </c:pt>
                <c:pt idx="127">
                  <c:v>-637620.2465504033</c:v>
                </c:pt>
                <c:pt idx="128">
                  <c:v>-636120.567207871</c:v>
                </c:pt>
                <c:pt idx="129">
                  <c:v>-634616.88872042531</c:v>
                </c:pt>
                <c:pt idx="130">
                  <c:v>-633109.20042367978</c:v>
                </c:pt>
                <c:pt idx="131">
                  <c:v>-631597.49162480957</c:v>
                </c:pt>
                <c:pt idx="132">
                  <c:v>-630081.75160247576</c:v>
                </c:pt>
                <c:pt idx="133">
                  <c:v>-628561.96960674901</c:v>
                </c:pt>
                <c:pt idx="134">
                  <c:v>-627038.13485903363</c:v>
                </c:pt>
                <c:pt idx="135">
                  <c:v>-625510.23655199108</c:v>
                </c:pt>
                <c:pt idx="136">
                  <c:v>-623978.26384946308</c:v>
                </c:pt>
                <c:pt idx="137">
                  <c:v>-622442.20588639495</c:v>
                </c:pt>
                <c:pt idx="138">
                  <c:v>-620902.05176875868</c:v>
                </c:pt>
                <c:pt idx="139">
                  <c:v>-619357.79057347542</c:v>
                </c:pt>
                <c:pt idx="140">
                  <c:v>-617809.41134833801</c:v>
                </c:pt>
                <c:pt idx="141">
                  <c:v>-616256.90311193361</c:v>
                </c:pt>
                <c:pt idx="142">
                  <c:v>-614700.25485356548</c:v>
                </c:pt>
                <c:pt idx="143">
                  <c:v>-613139.45553317503</c:v>
                </c:pt>
                <c:pt idx="144">
                  <c:v>-611574.49408126355</c:v>
                </c:pt>
                <c:pt idx="145">
                  <c:v>-610005.35939881357</c:v>
                </c:pt>
                <c:pt idx="146">
                  <c:v>-608432.04035721044</c:v>
                </c:pt>
                <c:pt idx="147">
                  <c:v>-606854.52579816303</c:v>
                </c:pt>
                <c:pt idx="148">
                  <c:v>-605272.80453362479</c:v>
                </c:pt>
                <c:pt idx="149">
                  <c:v>-603686.8653457145</c:v>
                </c:pt>
                <c:pt idx="150">
                  <c:v>-602096.69698663638</c:v>
                </c:pt>
                <c:pt idx="151">
                  <c:v>-600502.28817860072</c:v>
                </c:pt>
                <c:pt idx="152">
                  <c:v>-598903.62761374365</c:v>
                </c:pt>
                <c:pt idx="153">
                  <c:v>-597300.70395404694</c:v>
                </c:pt>
                <c:pt idx="154">
                  <c:v>-595693.50583125779</c:v>
                </c:pt>
                <c:pt idx="155">
                  <c:v>-594082.02184680779</c:v>
                </c:pt>
                <c:pt idx="156">
                  <c:v>-592466.24057173263</c:v>
                </c:pt>
                <c:pt idx="157">
                  <c:v>-590846.15054659056</c:v>
                </c:pt>
                <c:pt idx="158">
                  <c:v>-589221.74028138153</c:v>
                </c:pt>
                <c:pt idx="159">
                  <c:v>-587592.99825546518</c:v>
                </c:pt>
                <c:pt idx="160">
                  <c:v>-585959.91291747976</c:v>
                </c:pt>
                <c:pt idx="161">
                  <c:v>-584322.47268525965</c:v>
                </c:pt>
                <c:pt idx="162">
                  <c:v>-582680.66594575369</c:v>
                </c:pt>
                <c:pt idx="163">
                  <c:v>-581034.48105494236</c:v>
                </c:pt>
                <c:pt idx="164">
                  <c:v>-579383.9063377555</c:v>
                </c:pt>
                <c:pt idx="165">
                  <c:v>-577728.93008798955</c:v>
                </c:pt>
                <c:pt idx="166">
                  <c:v>-576069.54056822415</c:v>
                </c:pt>
                <c:pt idx="167">
                  <c:v>-574405.72600973945</c:v>
                </c:pt>
                <c:pt idx="168">
                  <c:v>-572737.47461243207</c:v>
                </c:pt>
                <c:pt idx="169">
                  <c:v>-571064.77454473183</c:v>
                </c:pt>
                <c:pt idx="170">
                  <c:v>-569387.61394351779</c:v>
                </c:pt>
                <c:pt idx="171">
                  <c:v>-567705.98091403383</c:v>
                </c:pt>
                <c:pt idx="172">
                  <c:v>-566019.86352980463</c:v>
                </c:pt>
                <c:pt idx="173">
                  <c:v>-564329.24983255076</c:v>
                </c:pt>
                <c:pt idx="174">
                  <c:v>-562634.12783210422</c:v>
                </c:pt>
                <c:pt idx="175">
                  <c:v>-560934.48550632317</c:v>
                </c:pt>
                <c:pt idx="176">
                  <c:v>-559230.31080100674</c:v>
                </c:pt>
                <c:pt idx="177">
                  <c:v>-557521.59162980947</c:v>
                </c:pt>
                <c:pt idx="178">
                  <c:v>-555808.31587415561</c:v>
                </c:pt>
                <c:pt idx="179">
                  <c:v>-554090.47138315334</c:v>
                </c:pt>
                <c:pt idx="180">
                  <c:v>-552368.04597350839</c:v>
                </c:pt>
                <c:pt idx="181">
                  <c:v>-550641.02742943773</c:v>
                </c:pt>
                <c:pt idx="182">
                  <c:v>-548909.40350258292</c:v>
                </c:pt>
                <c:pt idx="183">
                  <c:v>-547173.16191192309</c:v>
                </c:pt>
                <c:pt idx="184">
                  <c:v>-545432.29034368822</c:v>
                </c:pt>
                <c:pt idx="185">
                  <c:v>-543686.77645127138</c:v>
                </c:pt>
                <c:pt idx="186">
                  <c:v>-541936.6078551414</c:v>
                </c:pt>
                <c:pt idx="187">
                  <c:v>-540181.7721427551</c:v>
                </c:pt>
                <c:pt idx="188">
                  <c:v>-538422.25686846906</c:v>
                </c:pt>
                <c:pt idx="189">
                  <c:v>-536658.04955345159</c:v>
                </c:pt>
                <c:pt idx="190">
                  <c:v>-534889.13768559415</c:v>
                </c:pt>
                <c:pt idx="191">
                  <c:v>-533115.50871942239</c:v>
                </c:pt>
                <c:pt idx="192">
                  <c:v>-531337.15007600747</c:v>
                </c:pt>
                <c:pt idx="193">
                  <c:v>-529554.04914287687</c:v>
                </c:pt>
                <c:pt idx="194">
                  <c:v>-527766.19327392452</c:v>
                </c:pt>
                <c:pt idx="195">
                  <c:v>-525973.56978932163</c:v>
                </c:pt>
                <c:pt idx="196">
                  <c:v>-524176.1659754265</c:v>
                </c:pt>
                <c:pt idx="197">
                  <c:v>-522373.96908469428</c:v>
                </c:pt>
                <c:pt idx="198">
                  <c:v>-520566.9663355868</c:v>
                </c:pt>
                <c:pt idx="199">
                  <c:v>-518755.14491248172</c:v>
                </c:pt>
                <c:pt idx="200">
                  <c:v>-516938.49196558166</c:v>
                </c:pt>
                <c:pt idx="201">
                  <c:v>-515116.99461082323</c:v>
                </c:pt>
                <c:pt idx="202">
                  <c:v>-513290.63992978539</c:v>
                </c:pt>
                <c:pt idx="203">
                  <c:v>-511459.41496959818</c:v>
                </c:pt>
                <c:pt idx="204">
                  <c:v>-509623.30674285046</c:v>
                </c:pt>
                <c:pt idx="205">
                  <c:v>-507782.30222749803</c:v>
                </c:pt>
                <c:pt idx="206">
                  <c:v>-505936.38836677134</c:v>
                </c:pt>
                <c:pt idx="207">
                  <c:v>-504085.55206908274</c:v>
                </c:pt>
                <c:pt idx="208">
                  <c:v>-502229.78020793363</c:v>
                </c:pt>
                <c:pt idx="209">
                  <c:v>-500369.05962182145</c:v>
                </c:pt>
                <c:pt idx="210">
                  <c:v>-498503.37711414631</c:v>
                </c:pt>
                <c:pt idx="211">
                  <c:v>-496632.71945311734</c:v>
                </c:pt>
                <c:pt idx="212">
                  <c:v>-494757.07337165897</c:v>
                </c:pt>
                <c:pt idx="213">
                  <c:v>-492876.42556731671</c:v>
                </c:pt>
                <c:pt idx="214">
                  <c:v>-490990.7627021629</c:v>
                </c:pt>
                <c:pt idx="215">
                  <c:v>-489100.07140270201</c:v>
                </c:pt>
                <c:pt idx="216">
                  <c:v>-487204.33825977589</c:v>
                </c:pt>
                <c:pt idx="217">
                  <c:v>-485303.54982846865</c:v>
                </c:pt>
                <c:pt idx="218">
                  <c:v>-483397.69262801122</c:v>
                </c:pt>
                <c:pt idx="219">
                  <c:v>-481486.75314168591</c:v>
                </c:pt>
                <c:pt idx="220">
                  <c:v>-479570.71781673038</c:v>
                </c:pt>
                <c:pt idx="221">
                  <c:v>-477649.57306424167</c:v>
                </c:pt>
                <c:pt idx="222">
                  <c:v>-475723.30525907967</c:v>
                </c:pt>
                <c:pt idx="223">
                  <c:v>-473791.90073977056</c:v>
                </c:pt>
                <c:pt idx="224">
                  <c:v>-471855.34580840997</c:v>
                </c:pt>
                <c:pt idx="225">
                  <c:v>-469913.62673056574</c:v>
                </c:pt>
                <c:pt idx="226">
                  <c:v>-467966.72973518056</c:v>
                </c:pt>
                <c:pt idx="227">
                  <c:v>-466014.64101447439</c:v>
                </c:pt>
                <c:pt idx="228">
                  <c:v>-464057.34672384633</c:v>
                </c:pt>
                <c:pt idx="229">
                  <c:v>-462094.83298177656</c:v>
                </c:pt>
                <c:pt idx="230">
                  <c:v>-460127.08586972795</c:v>
                </c:pt>
                <c:pt idx="231">
                  <c:v>-458154.09143204719</c:v>
                </c:pt>
                <c:pt idx="232">
                  <c:v>-456175.83567586599</c:v>
                </c:pt>
                <c:pt idx="233">
                  <c:v>-454192.30457100162</c:v>
                </c:pt>
                <c:pt idx="234">
                  <c:v>-452203.48404985759</c:v>
                </c:pt>
                <c:pt idx="235">
                  <c:v>-450209.36000732391</c:v>
                </c:pt>
                <c:pt idx="236">
                  <c:v>-448209.91830067674</c:v>
                </c:pt>
                <c:pt idx="237">
                  <c:v>-446205.14474947855</c:v>
                </c:pt>
                <c:pt idx="238">
                  <c:v>-444195.02513547719</c:v>
                </c:pt>
                <c:pt idx="239">
                  <c:v>-442179.54520250513</c:v>
                </c:pt>
                <c:pt idx="240">
                  <c:v>-440158.69065637846</c:v>
                </c:pt>
                <c:pt idx="241">
                  <c:v>-438132.44716479548</c:v>
                </c:pt>
                <c:pt idx="242">
                  <c:v>-436100.80035723496</c:v>
                </c:pt>
                <c:pt idx="243">
                  <c:v>-434063.73582485423</c:v>
                </c:pt>
                <c:pt idx="244">
                  <c:v>-432021.23912038718</c:v>
                </c:pt>
                <c:pt idx="245">
                  <c:v>-429973.29575804155</c:v>
                </c:pt>
                <c:pt idx="246">
                  <c:v>-427919.89121339633</c:v>
                </c:pt>
                <c:pt idx="247">
                  <c:v>-425861.01092329872</c:v>
                </c:pt>
                <c:pt idx="248">
                  <c:v>-423796.64028576086</c:v>
                </c:pt>
                <c:pt idx="249">
                  <c:v>-421726.76465985621</c:v>
                </c:pt>
                <c:pt idx="250">
                  <c:v>-419651.36936561583</c:v>
                </c:pt>
                <c:pt idx="251">
                  <c:v>-417570.43968392414</c:v>
                </c:pt>
                <c:pt idx="252">
                  <c:v>-415483.96085641457</c:v>
                </c:pt>
                <c:pt idx="253">
                  <c:v>-413391.91808536503</c:v>
                </c:pt>
                <c:pt idx="254">
                  <c:v>-411294.29653359269</c:v>
                </c:pt>
                <c:pt idx="255">
                  <c:v>-409191.08132434892</c:v>
                </c:pt>
                <c:pt idx="256">
                  <c:v>-407082.25754121388</c:v>
                </c:pt>
                <c:pt idx="257">
                  <c:v>-404967.81022799044</c:v>
                </c:pt>
                <c:pt idx="258">
                  <c:v>-402847.72438859841</c:v>
                </c:pt>
                <c:pt idx="259">
                  <c:v>-400721.98498696799</c:v>
                </c:pt>
                <c:pt idx="260">
                  <c:v>-398590.57694693323</c:v>
                </c:pt>
                <c:pt idx="261">
                  <c:v>-396453.48515212507</c:v>
                </c:pt>
                <c:pt idx="262">
                  <c:v>-394310.69444586406</c:v>
                </c:pt>
                <c:pt idx="263">
                  <c:v>-392162.18963105301</c:v>
                </c:pt>
                <c:pt idx="264">
                  <c:v>-390007.95547006914</c:v>
                </c:pt>
                <c:pt idx="265">
                  <c:v>-387847.97668465599</c:v>
                </c:pt>
                <c:pt idx="266">
                  <c:v>-385682.2379558151</c:v>
                </c:pt>
                <c:pt idx="267">
                  <c:v>-383510.72392369725</c:v>
                </c:pt>
                <c:pt idx="268">
                  <c:v>-381333.4191874938</c:v>
                </c:pt>
                <c:pt idx="269">
                  <c:v>-379150.30830532714</c:v>
                </c:pt>
                <c:pt idx="270">
                  <c:v>-376961.37579414132</c:v>
                </c:pt>
                <c:pt idx="271">
                  <c:v>-374766.60612959234</c:v>
                </c:pt>
                <c:pt idx="272">
                  <c:v>-372565.98374593793</c:v>
                </c:pt>
                <c:pt idx="273">
                  <c:v>-370359.49303592712</c:v>
                </c:pt>
                <c:pt idx="274">
                  <c:v>-368147.11835068959</c:v>
                </c:pt>
                <c:pt idx="275">
                  <c:v>-365928.84399962478</c:v>
                </c:pt>
                <c:pt idx="276">
                  <c:v>-363704.65425029042</c:v>
                </c:pt>
                <c:pt idx="277">
                  <c:v>-361474.5333282912</c:v>
                </c:pt>
                <c:pt idx="278">
                  <c:v>-359238.46541716665</c:v>
                </c:pt>
                <c:pt idx="279">
                  <c:v>-356996.43465827912</c:v>
                </c:pt>
                <c:pt idx="280">
                  <c:v>-354748.42515070119</c:v>
                </c:pt>
                <c:pt idx="281">
                  <c:v>-352494.42095110303</c:v>
                </c:pt>
                <c:pt idx="282">
                  <c:v>-350234.40607363929</c:v>
                </c:pt>
                <c:pt idx="283">
                  <c:v>-347968.36448983563</c:v>
                </c:pt>
                <c:pt idx="284">
                  <c:v>-345696.28012847516</c:v>
                </c:pt>
                <c:pt idx="285">
                  <c:v>-343418.13687548443</c:v>
                </c:pt>
                <c:pt idx="286">
                  <c:v>-341133.91857381904</c:v>
                </c:pt>
                <c:pt idx="287">
                  <c:v>-338843.60902334924</c:v>
                </c:pt>
                <c:pt idx="288">
                  <c:v>-336547.19198074483</c:v>
                </c:pt>
                <c:pt idx="289">
                  <c:v>-334244.65115936013</c:v>
                </c:pt>
                <c:pt idx="290">
                  <c:v>-331935.97022911842</c:v>
                </c:pt>
                <c:pt idx="291">
                  <c:v>-329621.13281639607</c:v>
                </c:pt>
                <c:pt idx="292">
                  <c:v>-327300.12250390649</c:v>
                </c:pt>
                <c:pt idx="293">
                  <c:v>-324972.92283058359</c:v>
                </c:pt>
                <c:pt idx="294">
                  <c:v>-322639.51729146513</c:v>
                </c:pt>
                <c:pt idx="295">
                  <c:v>-320299.8893375757</c:v>
                </c:pt>
                <c:pt idx="296">
                  <c:v>-317954.02237580926</c:v>
                </c:pt>
                <c:pt idx="297">
                  <c:v>-315601.89976881142</c:v>
                </c:pt>
                <c:pt idx="298">
                  <c:v>-313243.50483486155</c:v>
                </c:pt>
                <c:pt idx="299">
                  <c:v>-310878.82084775454</c:v>
                </c:pt>
                <c:pt idx="300">
                  <c:v>-308507.83103668189</c:v>
                </c:pt>
                <c:pt idx="301">
                  <c:v>-306130.51858611306</c:v>
                </c:pt>
                <c:pt idx="302">
                  <c:v>-303746.86663567601</c:v>
                </c:pt>
                <c:pt idx="303">
                  <c:v>-301356.85828003782</c:v>
                </c:pt>
                <c:pt idx="304">
                  <c:v>-298960.47656878456</c:v>
                </c:pt>
                <c:pt idx="305">
                  <c:v>-296557.70450630132</c:v>
                </c:pt>
                <c:pt idx="306">
                  <c:v>-294148.52505165146</c:v>
                </c:pt>
                <c:pt idx="307">
                  <c:v>-291732.92111845588</c:v>
                </c:pt>
                <c:pt idx="308">
                  <c:v>-289310.87557477178</c:v>
                </c:pt>
                <c:pt idx="309">
                  <c:v>-286882.37124297116</c:v>
                </c:pt>
                <c:pt idx="310">
                  <c:v>-284447.39089961909</c:v>
                </c:pt>
                <c:pt idx="311">
                  <c:v>-282005.91727535141</c:v>
                </c:pt>
                <c:pt idx="312">
                  <c:v>-279557.93305475236</c:v>
                </c:pt>
                <c:pt idx="313">
                  <c:v>-277103.42087623168</c:v>
                </c:pt>
                <c:pt idx="314">
                  <c:v>-274642.36333190161</c:v>
                </c:pt>
                <c:pt idx="315">
                  <c:v>-272174.74296745332</c:v>
                </c:pt>
                <c:pt idx="316">
                  <c:v>-269700.54228203319</c:v>
                </c:pt>
                <c:pt idx="317">
                  <c:v>-267219.7437281186</c:v>
                </c:pt>
                <c:pt idx="318">
                  <c:v>-264732.32971139357</c:v>
                </c:pt>
                <c:pt idx="319">
                  <c:v>-262238.28259062394</c:v>
                </c:pt>
                <c:pt idx="320">
                  <c:v>-259737.58467753229</c:v>
                </c:pt>
                <c:pt idx="321">
                  <c:v>-257230.21823667237</c:v>
                </c:pt>
                <c:pt idx="322">
                  <c:v>-254716.1654853035</c:v>
                </c:pt>
                <c:pt idx="323">
                  <c:v>-252195.40859326432</c:v>
                </c:pt>
                <c:pt idx="324">
                  <c:v>-249667.92968284636</c:v>
                </c:pt>
                <c:pt idx="325">
                  <c:v>-247133.71082866727</c:v>
                </c:pt>
                <c:pt idx="326">
                  <c:v>-244592.73405754371</c:v>
                </c:pt>
                <c:pt idx="327">
                  <c:v>-242044.98134836383</c:v>
                </c:pt>
                <c:pt idx="328">
                  <c:v>-239490.43463195948</c:v>
                </c:pt>
                <c:pt idx="329">
                  <c:v>-236929.07579097804</c:v>
                </c:pt>
                <c:pt idx="330">
                  <c:v>-234360.88665975397</c:v>
                </c:pt>
                <c:pt idx="331">
                  <c:v>-231785.84902417997</c:v>
                </c:pt>
                <c:pt idx="332">
                  <c:v>-229203.9446215778</c:v>
                </c:pt>
                <c:pt idx="333">
                  <c:v>-226615.15514056868</c:v>
                </c:pt>
                <c:pt idx="334">
                  <c:v>-224019.46222094353</c:v>
                </c:pt>
                <c:pt idx="335">
                  <c:v>-221416.84745353271</c:v>
                </c:pt>
                <c:pt idx="336">
                  <c:v>-218807.29238007547</c:v>
                </c:pt>
                <c:pt idx="337">
                  <c:v>-216190.77849308899</c:v>
                </c:pt>
                <c:pt idx="338">
                  <c:v>-213567.28723573723</c:v>
                </c:pt>
                <c:pt idx="339">
                  <c:v>-210936.80000169919</c:v>
                </c:pt>
                <c:pt idx="340">
                  <c:v>-208299.29813503704</c:v>
                </c:pt>
                <c:pt idx="341">
                  <c:v>-205654.76293006379</c:v>
                </c:pt>
                <c:pt idx="342">
                  <c:v>-203003.17563121062</c:v>
                </c:pt>
                <c:pt idx="343">
                  <c:v>-200344.51743289383</c:v>
                </c:pt>
                <c:pt idx="344">
                  <c:v>-197678.76947938156</c:v>
                </c:pt>
                <c:pt idx="345">
                  <c:v>-195005.91286465991</c:v>
                </c:pt>
                <c:pt idx="346">
                  <c:v>-192325.92863229901</c:v>
                </c:pt>
                <c:pt idx="347">
                  <c:v>-189638.79777531847</c:v>
                </c:pt>
                <c:pt idx="348">
                  <c:v>-186944.50123605266</c:v>
                </c:pt>
                <c:pt idx="349">
                  <c:v>-184243.01990601546</c:v>
                </c:pt>
                <c:pt idx="350">
                  <c:v>-181534.33462576484</c:v>
                </c:pt>
                <c:pt idx="351">
                  <c:v>-178818.42618476687</c:v>
                </c:pt>
                <c:pt idx="352">
                  <c:v>-176095.27532125957</c:v>
                </c:pt>
                <c:pt idx="353">
                  <c:v>-173364.86272211626</c:v>
                </c:pt>
                <c:pt idx="354">
                  <c:v>-170627.16902270858</c:v>
                </c:pt>
                <c:pt idx="355">
                  <c:v>-167882.17480676912</c:v>
                </c:pt>
                <c:pt idx="356">
                  <c:v>-165129.86060625385</c:v>
                </c:pt>
                <c:pt idx="357">
                  <c:v>-162370.20690120384</c:v>
                </c:pt>
                <c:pt idx="358">
                  <c:v>-159603.19411960704</c:v>
                </c:pt>
                <c:pt idx="359">
                  <c:v>-156828.80263725933</c:v>
                </c:pt>
                <c:pt idx="360">
                  <c:v>-154047.01277762535</c:v>
                </c:pt>
                <c:pt idx="361">
                  <c:v>-151257.80481169902</c:v>
                </c:pt>
                <c:pt idx="362">
                  <c:v>-148461.15895786355</c:v>
                </c:pt>
                <c:pt idx="363">
                  <c:v>-145657.05538175118</c:v>
                </c:pt>
                <c:pt idx="364">
                  <c:v>-142845.47419610253</c:v>
                </c:pt>
                <c:pt idx="365">
                  <c:v>-140026.39546062547</c:v>
                </c:pt>
                <c:pt idx="366">
                  <c:v>-137199.7991818538</c:v>
                </c:pt>
                <c:pt idx="367">
                  <c:v>-134365.66531300542</c:v>
                </c:pt>
                <c:pt idx="368">
                  <c:v>-131523.97375384011</c:v>
                </c:pt>
                <c:pt idx="369">
                  <c:v>-128674.70435051701</c:v>
                </c:pt>
                <c:pt idx="370">
                  <c:v>-125817.83689545172</c:v>
                </c:pt>
                <c:pt idx="371">
                  <c:v>-122953.35112717292</c:v>
                </c:pt>
                <c:pt idx="372">
                  <c:v>-120081.22673017872</c:v>
                </c:pt>
                <c:pt idx="373">
                  <c:v>-117201.44333479254</c:v>
                </c:pt>
                <c:pt idx="374">
                  <c:v>-114313.98051701864</c:v>
                </c:pt>
                <c:pt idx="375">
                  <c:v>-111418.81779839736</c:v>
                </c:pt>
                <c:pt idx="376">
                  <c:v>-108515.93464585976</c:v>
                </c:pt>
                <c:pt idx="377">
                  <c:v>-105605.31047158205</c:v>
                </c:pt>
                <c:pt idx="378">
                  <c:v>-102686.9246328396</c:v>
                </c:pt>
                <c:pt idx="379">
                  <c:v>-99760.7564318605</c:v>
                </c:pt>
                <c:pt idx="380">
                  <c:v>-96826.785115678795</c:v>
                </c:pt>
                <c:pt idx="381">
                  <c:v>-93884.989875987274</c:v>
                </c:pt>
                <c:pt idx="382">
                  <c:v>-90935.349848989907</c:v>
                </c:pt>
                <c:pt idx="383">
                  <c:v>-87977.844115253873</c:v>
                </c:pt>
                <c:pt idx="384">
                  <c:v>-85012.451699561221</c:v>
                </c:pt>
                <c:pt idx="385">
                  <c:v>-82039.151570760048</c:v>
                </c:pt>
                <c:pt idx="386">
                  <c:v>-79057.922641615412</c:v>
                </c:pt>
                <c:pt idx="387">
                  <c:v>-76068.743768659726</c:v>
                </c:pt>
                <c:pt idx="388">
                  <c:v>-73071.593752042812</c:v>
                </c:pt>
                <c:pt idx="389">
                  <c:v>-70066.4513353816</c:v>
                </c:pt>
                <c:pt idx="390">
                  <c:v>-67053.295205609291</c:v>
                </c:pt>
                <c:pt idx="391">
                  <c:v>-64032.103992824246</c:v>
                </c:pt>
                <c:pt idx="392">
                  <c:v>-61002.856270138444</c:v>
                </c:pt>
                <c:pt idx="393">
                  <c:v>-57965.530553525481</c:v>
                </c:pt>
                <c:pt idx="394">
                  <c:v>-54920.105301668213</c:v>
                </c:pt>
                <c:pt idx="395">
                  <c:v>-51866.558915805996</c:v>
                </c:pt>
                <c:pt idx="396">
                  <c:v>-48804.869739581482</c:v>
                </c:pt>
                <c:pt idx="397">
                  <c:v>-45735.016058887035</c:v>
                </c:pt>
                <c:pt idx="398">
                  <c:v>-42656.97610171073</c:v>
                </c:pt>
                <c:pt idx="399">
                  <c:v>-39570.728037981957</c:v>
                </c:pt>
                <c:pt idx="400">
                  <c:v>-36476.249979416578</c:v>
                </c:pt>
                <c:pt idx="401">
                  <c:v>-33373.519979361692</c:v>
                </c:pt>
                <c:pt idx="402">
                  <c:v>-30262.516032639989</c:v>
                </c:pt>
                <c:pt idx="403">
                  <c:v>-27143.216075393695</c:v>
                </c:pt>
                <c:pt idx="404">
                  <c:v>-24015.597984928077</c:v>
                </c:pt>
                <c:pt idx="405">
                  <c:v>-20879.63957955455</c:v>
                </c:pt>
                <c:pt idx="406">
                  <c:v>-17735.318618433361</c:v>
                </c:pt>
                <c:pt idx="407">
                  <c:v>-14582.612801415849</c:v>
                </c:pt>
                <c:pt idx="408">
                  <c:v>-11421.499768886291</c:v>
                </c:pt>
                <c:pt idx="409">
                  <c:v>-8251.9571016033206</c:v>
                </c:pt>
                <c:pt idx="410">
                  <c:v>-5073.9623205409289</c:v>
                </c:pt>
                <c:pt idx="411">
                  <c:v>-1887.4928867290378</c:v>
                </c:pt>
                <c:pt idx="412">
                  <c:v>1307.4737989063519</c:v>
                </c:pt>
                <c:pt idx="413">
                  <c:v>4510.960395703436</c:v>
                </c:pt>
                <c:pt idx="414">
                  <c:v>7722.9896234253119</c:v>
                </c:pt>
                <c:pt idx="415">
                  <c:v>10943.584262421113</c:v>
                </c:pt>
                <c:pt idx="416">
                  <c:v>14172.767153787569</c:v>
                </c:pt>
                <c:pt idx="417">
                  <c:v>17410.561199531003</c:v>
                </c:pt>
                <c:pt idx="418">
                  <c:v>20656.989362729753</c:v>
                </c:pt>
                <c:pt idx="419">
                  <c:v>23912.074667697034</c:v>
                </c:pt>
                <c:pt idx="420">
                  <c:v>27175.840200144226</c:v>
                </c:pt>
                <c:pt idx="421">
                  <c:v>30448.309107344612</c:v>
                </c:pt>
                <c:pt idx="422">
                  <c:v>33729.504598297528</c:v>
                </c:pt>
                <c:pt idx="423">
                  <c:v>37019.449943892985</c:v>
                </c:pt>
                <c:pt idx="424">
                  <c:v>40318.168477076702</c:v>
                </c:pt>
                <c:pt idx="425">
                  <c:v>43625.683593015572</c:v>
                </c:pt>
                <c:pt idx="426">
                  <c:v>46942.018749263618</c:v>
                </c:pt>
                <c:pt idx="427">
                  <c:v>50267.197465928322</c:v>
                </c:pt>
                <c:pt idx="428">
                  <c:v>53601.243325837466</c:v>
                </c:pt>
                <c:pt idx="429">
                  <c:v>56944.179974706363</c:v>
                </c:pt>
                <c:pt idx="430">
                  <c:v>60296.031121305583</c:v>
                </c:pt>
                <c:pt idx="431">
                  <c:v>63656.820537629064</c:v>
                </c:pt>
                <c:pt idx="432">
                  <c:v>67026.572059062746</c:v>
                </c:pt>
                <c:pt idx="433">
                  <c:v>70405.309584553586</c:v>
                </c:pt>
                <c:pt idx="434">
                  <c:v>73793.057076779063</c:v>
                </c:pt>
                <c:pt idx="435">
                  <c:v>77189.838562317134</c:v>
                </c:pt>
                <c:pt idx="436">
                  <c:v>80595.678131816647</c:v>
                </c:pt>
                <c:pt idx="437">
                  <c:v>84010.599940168162</c:v>
                </c:pt>
                <c:pt idx="438">
                  <c:v>87434.628206675276</c:v>
                </c:pt>
                <c:pt idx="439">
                  <c:v>90867.787215226417</c:v>
                </c:pt>
                <c:pt idx="440">
                  <c:v>94310.101314467029</c:v>
                </c:pt>
                <c:pt idx="441">
                  <c:v>97761.594917972281</c:v>
                </c:pt>
                <c:pt idx="442">
                  <c:v>101222.29250442021</c:v>
                </c:pt>
                <c:pt idx="443">
                  <c:v>104692.21861776533</c:v>
                </c:pt>
                <c:pt idx="444">
                  <c:v>108171.39786741271</c:v>
                </c:pt>
                <c:pt idx="445">
                  <c:v>111659.85492839248</c:v>
                </c:pt>
                <c:pt idx="446">
                  <c:v>115157.61454153486</c:v>
                </c:pt>
                <c:pt idx="447">
                  <c:v>118664.70151364562</c:v>
                </c:pt>
                <c:pt idx="448">
                  <c:v>122181.14071768201</c:v>
                </c:pt>
                <c:pt idx="449">
                  <c:v>125706.95709292917</c:v>
                </c:pt>
                <c:pt idx="450">
                  <c:v>129242.17564517698</c:v>
                </c:pt>
                <c:pt idx="451">
                  <c:v>132786.82144689746</c:v>
                </c:pt>
                <c:pt idx="452">
                  <c:v>136340.91963742251</c:v>
                </c:pt>
                <c:pt idx="453">
                  <c:v>139904.49542312231</c:v>
                </c:pt>
                <c:pt idx="454">
                  <c:v>143477.57407758397</c:v>
                </c:pt>
                <c:pt idx="455">
                  <c:v>147060.18094179087</c:v>
                </c:pt>
                <c:pt idx="456">
                  <c:v>150652.34142430231</c:v>
                </c:pt>
                <c:pt idx="457">
                  <c:v>154254.08100143378</c:v>
                </c:pt>
                <c:pt idx="458">
                  <c:v>157865.42521743759</c:v>
                </c:pt>
                <c:pt idx="459">
                  <c:v>161486.39968468409</c:v>
                </c:pt>
                <c:pt idx="460">
                  <c:v>165117.03008384324</c:v>
                </c:pt>
                <c:pt idx="461">
                  <c:v>168757.34216406682</c:v>
                </c:pt>
                <c:pt idx="462">
                  <c:v>172407.361743171</c:v>
                </c:pt>
                <c:pt idx="463">
                  <c:v>176067.11470781945</c:v>
                </c:pt>
                <c:pt idx="464">
                  <c:v>179736.62701370698</c:v>
                </c:pt>
                <c:pt idx="465">
                  <c:v>183415.92468574352</c:v>
                </c:pt>
                <c:pt idx="466">
                  <c:v>187105.03381823885</c:v>
                </c:pt>
                <c:pt idx="467">
                  <c:v>190803.98057508748</c:v>
                </c:pt>
                <c:pt idx="468">
                  <c:v>194512.79118995438</c:v>
                </c:pt>
                <c:pt idx="469">
                  <c:v>198231.49196646092</c:v>
                </c:pt>
                <c:pt idx="470">
                  <c:v>201960.10927837147</c:v>
                </c:pt>
                <c:pt idx="471">
                  <c:v>205698.66956978047</c:v>
                </c:pt>
                <c:pt idx="472">
                  <c:v>209447.19935529988</c:v>
                </c:pt>
                <c:pt idx="473">
                  <c:v>213205.72522024735</c:v>
                </c:pt>
                <c:pt idx="474">
                  <c:v>216974.27382083467</c:v>
                </c:pt>
                <c:pt idx="475">
                  <c:v>220752.87188435689</c:v>
                </c:pt>
                <c:pt idx="476">
                  <c:v>224541.54620938184</c:v>
                </c:pt>
                <c:pt idx="477">
                  <c:v>228340.32366594017</c:v>
                </c:pt>
                <c:pt idx="478">
                  <c:v>232149.23119571601</c:v>
                </c:pt>
                <c:pt idx="479">
                  <c:v>235968.29581223792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6-AC43-BC2F-9CD90E4A95BE}"/>
            </c:ext>
          </c:extLst>
        </c:ser>
        <c:ser>
          <c:idx val="1"/>
          <c:order val="1"/>
          <c:tx>
            <c:strRef>
              <c:f>Zinseszinz!$U$3</c:f>
              <c:strCache>
                <c:ptCount val="1"/>
                <c:pt idx="0">
                  <c:v>Variante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Zinseszinz!$S$4:$S$483</c:f>
              <c:numCache>
                <c:formatCode>0.0</c:formatCode>
                <c:ptCount val="480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  <c:pt idx="379">
                  <c:v>31.666666666666668</c:v>
                </c:pt>
                <c:pt idx="380">
                  <c:v>31.75</c:v>
                </c:pt>
                <c:pt idx="381">
                  <c:v>31.833333333333332</c:v>
                </c:pt>
                <c:pt idx="382">
                  <c:v>31.916666666666668</c:v>
                </c:pt>
                <c:pt idx="383">
                  <c:v>32</c:v>
                </c:pt>
                <c:pt idx="384">
                  <c:v>32.083333333333336</c:v>
                </c:pt>
                <c:pt idx="385">
                  <c:v>32.166666666666664</c:v>
                </c:pt>
                <c:pt idx="386">
                  <c:v>32.25</c:v>
                </c:pt>
                <c:pt idx="387">
                  <c:v>32.333333333333336</c:v>
                </c:pt>
                <c:pt idx="388">
                  <c:v>32.416666666666664</c:v>
                </c:pt>
                <c:pt idx="389">
                  <c:v>32.5</c:v>
                </c:pt>
                <c:pt idx="390">
                  <c:v>32.583333333333336</c:v>
                </c:pt>
                <c:pt idx="391">
                  <c:v>32.666666666666664</c:v>
                </c:pt>
                <c:pt idx="392">
                  <c:v>32.75</c:v>
                </c:pt>
                <c:pt idx="393">
                  <c:v>32.833333333333336</c:v>
                </c:pt>
                <c:pt idx="394">
                  <c:v>32.916666666666664</c:v>
                </c:pt>
                <c:pt idx="395">
                  <c:v>33</c:v>
                </c:pt>
                <c:pt idx="396">
                  <c:v>33.083333333333336</c:v>
                </c:pt>
                <c:pt idx="397">
                  <c:v>33.166666666666664</c:v>
                </c:pt>
                <c:pt idx="398">
                  <c:v>33.25</c:v>
                </c:pt>
                <c:pt idx="399">
                  <c:v>33.333333333333336</c:v>
                </c:pt>
                <c:pt idx="400">
                  <c:v>33.416666666666664</c:v>
                </c:pt>
                <c:pt idx="401">
                  <c:v>33.5</c:v>
                </c:pt>
                <c:pt idx="402">
                  <c:v>33.583333333333336</c:v>
                </c:pt>
                <c:pt idx="403">
                  <c:v>33.666666666666664</c:v>
                </c:pt>
                <c:pt idx="404">
                  <c:v>33.75</c:v>
                </c:pt>
                <c:pt idx="405">
                  <c:v>33.833333333333336</c:v>
                </c:pt>
                <c:pt idx="406">
                  <c:v>33.916666666666664</c:v>
                </c:pt>
                <c:pt idx="407">
                  <c:v>34</c:v>
                </c:pt>
                <c:pt idx="408">
                  <c:v>34.083333333333336</c:v>
                </c:pt>
                <c:pt idx="409">
                  <c:v>34.166666666666664</c:v>
                </c:pt>
                <c:pt idx="410">
                  <c:v>34.25</c:v>
                </c:pt>
                <c:pt idx="411">
                  <c:v>34.333333333333336</c:v>
                </c:pt>
                <c:pt idx="412">
                  <c:v>34.416666666666664</c:v>
                </c:pt>
                <c:pt idx="413">
                  <c:v>34.5</c:v>
                </c:pt>
                <c:pt idx="414">
                  <c:v>34.583333333333336</c:v>
                </c:pt>
                <c:pt idx="415">
                  <c:v>34.666666666666664</c:v>
                </c:pt>
                <c:pt idx="416">
                  <c:v>34.75</c:v>
                </c:pt>
                <c:pt idx="417">
                  <c:v>34.833333333333336</c:v>
                </c:pt>
                <c:pt idx="418">
                  <c:v>34.916666666666664</c:v>
                </c:pt>
                <c:pt idx="419">
                  <c:v>35</c:v>
                </c:pt>
                <c:pt idx="420">
                  <c:v>35.083333333333336</c:v>
                </c:pt>
                <c:pt idx="421">
                  <c:v>35.166666666666664</c:v>
                </c:pt>
                <c:pt idx="422">
                  <c:v>35.25</c:v>
                </c:pt>
                <c:pt idx="423">
                  <c:v>35.333333333333336</c:v>
                </c:pt>
                <c:pt idx="424">
                  <c:v>35.416666666666664</c:v>
                </c:pt>
                <c:pt idx="425">
                  <c:v>35.5</c:v>
                </c:pt>
                <c:pt idx="426">
                  <c:v>35.583333333333336</c:v>
                </c:pt>
                <c:pt idx="427">
                  <c:v>35.666666666666664</c:v>
                </c:pt>
                <c:pt idx="428">
                  <c:v>35.75</c:v>
                </c:pt>
                <c:pt idx="429">
                  <c:v>35.833333333333336</c:v>
                </c:pt>
                <c:pt idx="430">
                  <c:v>35.916666666666664</c:v>
                </c:pt>
                <c:pt idx="431">
                  <c:v>36</c:v>
                </c:pt>
                <c:pt idx="432">
                  <c:v>36.083333333333336</c:v>
                </c:pt>
                <c:pt idx="433">
                  <c:v>36.166666666666664</c:v>
                </c:pt>
                <c:pt idx="434">
                  <c:v>36.25</c:v>
                </c:pt>
                <c:pt idx="435">
                  <c:v>36.333333333333336</c:v>
                </c:pt>
                <c:pt idx="436">
                  <c:v>36.416666666666664</c:v>
                </c:pt>
                <c:pt idx="437">
                  <c:v>36.5</c:v>
                </c:pt>
                <c:pt idx="438">
                  <c:v>36.583333333333336</c:v>
                </c:pt>
                <c:pt idx="439">
                  <c:v>36.666666666666664</c:v>
                </c:pt>
                <c:pt idx="440">
                  <c:v>36.75</c:v>
                </c:pt>
                <c:pt idx="441">
                  <c:v>36.833333333333336</c:v>
                </c:pt>
                <c:pt idx="442">
                  <c:v>36.916666666666664</c:v>
                </c:pt>
                <c:pt idx="443">
                  <c:v>37</c:v>
                </c:pt>
                <c:pt idx="444">
                  <c:v>37.083333333333336</c:v>
                </c:pt>
                <c:pt idx="445">
                  <c:v>37.166666666666664</c:v>
                </c:pt>
                <c:pt idx="446">
                  <c:v>37.25</c:v>
                </c:pt>
                <c:pt idx="447">
                  <c:v>37.333333333333336</c:v>
                </c:pt>
                <c:pt idx="448">
                  <c:v>37.416666666666664</c:v>
                </c:pt>
                <c:pt idx="449">
                  <c:v>37.5</c:v>
                </c:pt>
                <c:pt idx="450">
                  <c:v>37.583333333333336</c:v>
                </c:pt>
                <c:pt idx="451">
                  <c:v>37.666666666666664</c:v>
                </c:pt>
                <c:pt idx="452">
                  <c:v>37.75</c:v>
                </c:pt>
                <c:pt idx="453">
                  <c:v>37.833333333333336</c:v>
                </c:pt>
                <c:pt idx="454">
                  <c:v>37.916666666666664</c:v>
                </c:pt>
                <c:pt idx="455">
                  <c:v>38</c:v>
                </c:pt>
                <c:pt idx="456">
                  <c:v>38.083333333333336</c:v>
                </c:pt>
                <c:pt idx="457">
                  <c:v>38.166666666666664</c:v>
                </c:pt>
                <c:pt idx="458">
                  <c:v>38.25</c:v>
                </c:pt>
                <c:pt idx="459">
                  <c:v>38.333333333333336</c:v>
                </c:pt>
                <c:pt idx="460">
                  <c:v>38.416666666666664</c:v>
                </c:pt>
                <c:pt idx="461">
                  <c:v>38.5</c:v>
                </c:pt>
                <c:pt idx="462">
                  <c:v>38.583333333333336</c:v>
                </c:pt>
                <c:pt idx="463">
                  <c:v>38.666666666666664</c:v>
                </c:pt>
                <c:pt idx="464">
                  <c:v>38.75</c:v>
                </c:pt>
                <c:pt idx="465">
                  <c:v>38.833333333333336</c:v>
                </c:pt>
                <c:pt idx="466">
                  <c:v>38.916666666666664</c:v>
                </c:pt>
                <c:pt idx="467">
                  <c:v>39</c:v>
                </c:pt>
                <c:pt idx="468">
                  <c:v>39.083333333333336</c:v>
                </c:pt>
                <c:pt idx="469">
                  <c:v>39.166666666666664</c:v>
                </c:pt>
                <c:pt idx="470">
                  <c:v>39.25</c:v>
                </c:pt>
                <c:pt idx="471">
                  <c:v>39.333333333333336</c:v>
                </c:pt>
                <c:pt idx="472">
                  <c:v>39.416666666666664</c:v>
                </c:pt>
                <c:pt idx="473">
                  <c:v>39.5</c:v>
                </c:pt>
                <c:pt idx="474">
                  <c:v>39.583333333333336</c:v>
                </c:pt>
                <c:pt idx="475">
                  <c:v>39.666666666666664</c:v>
                </c:pt>
                <c:pt idx="476">
                  <c:v>39.75</c:v>
                </c:pt>
                <c:pt idx="477">
                  <c:v>39.833333333333336</c:v>
                </c:pt>
                <c:pt idx="478">
                  <c:v>39.916666666666664</c:v>
                </c:pt>
                <c:pt idx="479">
                  <c:v>40</c:v>
                </c:pt>
              </c:numCache>
            </c:numRef>
          </c:cat>
          <c:val>
            <c:numRef>
              <c:f>Zinseszinz!$U$4:$U$483</c:f>
              <c:numCache>
                <c:formatCode>0.00</c:formatCode>
                <c:ptCount val="480"/>
                <c:pt idx="0">
                  <c:v>-798933.33333333337</c:v>
                </c:pt>
                <c:pt idx="1">
                  <c:v>-797861.58222222223</c:v>
                </c:pt>
                <c:pt idx="2">
                  <c:v>-796784.72190814826</c:v>
                </c:pt>
                <c:pt idx="3">
                  <c:v>-795702.72751056997</c:v>
                </c:pt>
                <c:pt idx="4">
                  <c:v>-794615.57402631815</c:v>
                </c:pt>
                <c:pt idx="5">
                  <c:v>-793523.23632898694</c:v>
                </c:pt>
                <c:pt idx="6">
                  <c:v>-792425.68916832248</c:v>
                </c:pt>
                <c:pt idx="7">
                  <c:v>-791322.90716960863</c:v>
                </c:pt>
                <c:pt idx="8">
                  <c:v>-790214.86483304901</c:v>
                </c:pt>
                <c:pt idx="9">
                  <c:v>-789101.53653314675</c:v>
                </c:pt>
                <c:pt idx="10">
                  <c:v>-787982.89651808096</c:v>
                </c:pt>
                <c:pt idx="11">
                  <c:v>-786858.91890907905</c:v>
                </c:pt>
                <c:pt idx="12">
                  <c:v>-785729.57769978791</c:v>
                </c:pt>
                <c:pt idx="13">
                  <c:v>-784594.84675564012</c:v>
                </c:pt>
                <c:pt idx="14">
                  <c:v>-783454.69981321797</c:v>
                </c:pt>
                <c:pt idx="15">
                  <c:v>-782309.11047961377</c:v>
                </c:pt>
                <c:pt idx="16">
                  <c:v>-781158.05223178782</c:v>
                </c:pt>
                <c:pt idx="17">
                  <c:v>-780001.49841592205</c:v>
                </c:pt>
                <c:pt idx="18">
                  <c:v>-778839.42224677163</c:v>
                </c:pt>
                <c:pt idx="19">
                  <c:v>-777671.79680701217</c:v>
                </c:pt>
                <c:pt idx="20">
                  <c:v>-776498.59504658461</c:v>
                </c:pt>
                <c:pt idx="21">
                  <c:v>-775319.78978203621</c:v>
                </c:pt>
                <c:pt idx="22">
                  <c:v>-774135.35369585908</c:v>
                </c:pt>
                <c:pt idx="23">
                  <c:v>-772945.25933582417</c:v>
                </c:pt>
                <c:pt idx="24">
                  <c:v>-771749.47911431303</c:v>
                </c:pt>
                <c:pt idx="25">
                  <c:v>-770547.98530764575</c:v>
                </c:pt>
                <c:pt idx="26">
                  <c:v>-769340.75005540601</c:v>
                </c:pt>
                <c:pt idx="27">
                  <c:v>-768127.74535976152</c:v>
                </c:pt>
                <c:pt idx="28">
                  <c:v>-766908.94308478315</c:v>
                </c:pt>
                <c:pt idx="29">
                  <c:v>-765684.3149557584</c:v>
                </c:pt>
                <c:pt idx="30">
                  <c:v>-764453.83255850326</c:v>
                </c:pt>
                <c:pt idx="31">
                  <c:v>-763217.46733866981</c:v>
                </c:pt>
                <c:pt idx="32">
                  <c:v>-761975.19060105016</c:v>
                </c:pt>
                <c:pt idx="33">
                  <c:v>-760726.97350887756</c:v>
                </c:pt>
                <c:pt idx="34">
                  <c:v>-759472.78708312369</c:v>
                </c:pt>
                <c:pt idx="35">
                  <c:v>-758212.6022017923</c:v>
                </c:pt>
                <c:pt idx="36">
                  <c:v>-756946.38959920953</c:v>
                </c:pt>
                <c:pt idx="37">
                  <c:v>-755674.11986531096</c:v>
                </c:pt>
                <c:pt idx="38">
                  <c:v>-754395.76344492449</c:v>
                </c:pt>
                <c:pt idx="39">
                  <c:v>-753111.29063705017</c:v>
                </c:pt>
                <c:pt idx="40">
                  <c:v>-751820.67159413616</c:v>
                </c:pt>
                <c:pt idx="41">
                  <c:v>-750523.87632135139</c:v>
                </c:pt>
                <c:pt idx="42">
                  <c:v>-749220.87467585411</c:v>
                </c:pt>
                <c:pt idx="43">
                  <c:v>-747911.63636605686</c:v>
                </c:pt>
                <c:pt idx="44">
                  <c:v>-746596.13095088897</c:v>
                </c:pt>
                <c:pt idx="45">
                  <c:v>-745274.32783905324</c:v>
                </c:pt>
                <c:pt idx="46">
                  <c:v>-743946.19628828065</c:v>
                </c:pt>
                <c:pt idx="47">
                  <c:v>-742611.70540458115</c:v>
                </c:pt>
                <c:pt idx="48">
                  <c:v>-741270.82414148934</c:v>
                </c:pt>
                <c:pt idx="49">
                  <c:v>-739923.5212993084</c:v>
                </c:pt>
                <c:pt idx="50">
                  <c:v>-738569.76552434883</c:v>
                </c:pt>
                <c:pt idx="51">
                  <c:v>-737209.52530816395</c:v>
                </c:pt>
                <c:pt idx="52">
                  <c:v>-735842.76898678124</c:v>
                </c:pt>
                <c:pt idx="53">
                  <c:v>-734469.46473993058</c:v>
                </c:pt>
                <c:pt idx="54">
                  <c:v>-733089.58059026767</c:v>
                </c:pt>
                <c:pt idx="55">
                  <c:v>-731703.0844025939</c:v>
                </c:pt>
                <c:pt idx="56">
                  <c:v>-730309.94388307363</c:v>
                </c:pt>
                <c:pt idx="57">
                  <c:v>-728910.12657844485</c:v>
                </c:pt>
                <c:pt idx="58">
                  <c:v>-727503.59987522895</c:v>
                </c:pt>
                <c:pt idx="59">
                  <c:v>-726090.33099893387</c:v>
                </c:pt>
                <c:pt idx="60">
                  <c:v>-724670.28701325564</c:v>
                </c:pt>
                <c:pt idx="61">
                  <c:v>-723243.43481927377</c:v>
                </c:pt>
                <c:pt idx="62">
                  <c:v>-721809.74115464464</c:v>
                </c:pt>
                <c:pt idx="63">
                  <c:v>-720369.17259278905</c:v>
                </c:pt>
                <c:pt idx="64">
                  <c:v>-718921.69554207718</c:v>
                </c:pt>
                <c:pt idx="65">
                  <c:v>-717467.27624500869</c:v>
                </c:pt>
                <c:pt idx="66">
                  <c:v>-716005.88077738869</c:v>
                </c:pt>
                <c:pt idx="67">
                  <c:v>-714537.47504750045</c:v>
                </c:pt>
                <c:pt idx="68">
                  <c:v>-713062.0247952725</c:v>
                </c:pt>
                <c:pt idx="69">
                  <c:v>-711579.49559144373</c:v>
                </c:pt>
                <c:pt idx="70">
                  <c:v>-710089.85283672158</c:v>
                </c:pt>
                <c:pt idx="71">
                  <c:v>-708593.06176093861</c:v>
                </c:pt>
                <c:pt idx="72">
                  <c:v>-707089.08742220362</c:v>
                </c:pt>
                <c:pt idx="73">
                  <c:v>-705577.89470604807</c:v>
                </c:pt>
                <c:pt idx="74">
                  <c:v>-704059.44832456973</c:v>
                </c:pt>
                <c:pt idx="75">
                  <c:v>-702533.71281557065</c:v>
                </c:pt>
                <c:pt idx="76">
                  <c:v>-701000.65254169167</c:v>
                </c:pt>
                <c:pt idx="77">
                  <c:v>-699460.23168954207</c:v>
                </c:pt>
                <c:pt idx="78">
                  <c:v>-697912.41426882532</c:v>
                </c:pt>
                <c:pt idx="79">
                  <c:v>-696357.16411146056</c:v>
                </c:pt>
                <c:pt idx="80">
                  <c:v>-694794.44487069908</c:v>
                </c:pt>
                <c:pt idx="81">
                  <c:v>-693224.22002023691</c:v>
                </c:pt>
                <c:pt idx="82">
                  <c:v>-691646.45285332296</c:v>
                </c:pt>
                <c:pt idx="83">
                  <c:v>-690061.10648186249</c:v>
                </c:pt>
                <c:pt idx="84">
                  <c:v>-688468.14383551595</c:v>
                </c:pt>
                <c:pt idx="85">
                  <c:v>-686867.52766079432</c:v>
                </c:pt>
                <c:pt idx="86">
                  <c:v>-685259.22052014887</c:v>
                </c:pt>
                <c:pt idx="87">
                  <c:v>-683643.18479105621</c:v>
                </c:pt>
                <c:pt idx="88">
                  <c:v>-682019.38266510027</c:v>
                </c:pt>
                <c:pt idx="89">
                  <c:v>-680387.77614704811</c:v>
                </c:pt>
                <c:pt idx="90">
                  <c:v>-678748.327053922</c:v>
                </c:pt>
                <c:pt idx="91">
                  <c:v>-677100.99701406655</c:v>
                </c:pt>
                <c:pt idx="92">
                  <c:v>-675445.74746621156</c:v>
                </c:pt>
                <c:pt idx="93">
                  <c:v>-673782.53965852957</c:v>
                </c:pt>
                <c:pt idx="94">
                  <c:v>-672111.33464768913</c:v>
                </c:pt>
                <c:pt idx="95">
                  <c:v>-670432.09329790343</c:v>
                </c:pt>
                <c:pt idx="96">
                  <c:v>-668744.77627997403</c:v>
                </c:pt>
                <c:pt idx="97">
                  <c:v>-667049.34407032991</c:v>
                </c:pt>
                <c:pt idx="98">
                  <c:v>-665345.75695006142</c:v>
                </c:pt>
                <c:pt idx="99">
                  <c:v>-663633.97500394995</c:v>
                </c:pt>
                <c:pt idx="100">
                  <c:v>-661913.95811949228</c:v>
                </c:pt>
                <c:pt idx="101">
                  <c:v>-660185.66598592047</c:v>
                </c:pt>
                <c:pt idx="102">
                  <c:v>-658449.05809321627</c:v>
                </c:pt>
                <c:pt idx="103">
                  <c:v>-656704.09373112151</c:v>
                </c:pt>
                <c:pt idx="104">
                  <c:v>-654950.73198814283</c:v>
                </c:pt>
                <c:pt idx="105">
                  <c:v>-653188.93175055145</c:v>
                </c:pt>
                <c:pt idx="106">
                  <c:v>-651418.65170137875</c:v>
                </c:pt>
                <c:pt idx="107">
                  <c:v>-649639.85031940578</c:v>
                </c:pt>
                <c:pt idx="108">
                  <c:v>-647852.48587814823</c:v>
                </c:pt>
                <c:pt idx="109">
                  <c:v>-646056.51644483686</c:v>
                </c:pt>
                <c:pt idx="110">
                  <c:v>-644251.89987939177</c:v>
                </c:pt>
                <c:pt idx="111">
                  <c:v>-642438.59383339225</c:v>
                </c:pt>
                <c:pt idx="112">
                  <c:v>-640616.55574904173</c:v>
                </c:pt>
                <c:pt idx="113">
                  <c:v>-638785.74285812664</c:v>
                </c:pt>
                <c:pt idx="114">
                  <c:v>-636946.11218097131</c:v>
                </c:pt>
                <c:pt idx="115">
                  <c:v>-635097.62052538642</c:v>
                </c:pt>
                <c:pt idx="116">
                  <c:v>-633240.22448561294</c:v>
                </c:pt>
                <c:pt idx="117">
                  <c:v>-631373.88044126076</c:v>
                </c:pt>
                <c:pt idx="118">
                  <c:v>-629498.54455624206</c:v>
                </c:pt>
                <c:pt idx="119">
                  <c:v>-627614.17277769907</c:v>
                </c:pt>
                <c:pt idx="120">
                  <c:v>-625720.72083492647</c:v>
                </c:pt>
                <c:pt idx="121">
                  <c:v>-623818.14423828898</c:v>
                </c:pt>
                <c:pt idx="122">
                  <c:v>-621906.39827813278</c:v>
                </c:pt>
                <c:pt idx="123">
                  <c:v>-619985.43802369211</c:v>
                </c:pt>
                <c:pt idx="124">
                  <c:v>-618055.21832199045</c:v>
                </c:pt>
                <c:pt idx="125">
                  <c:v>-616115.69379673526</c:v>
                </c:pt>
                <c:pt idx="126">
                  <c:v>-614166.81884720898</c:v>
                </c:pt>
                <c:pt idx="127">
                  <c:v>-612208.54764715233</c:v>
                </c:pt>
                <c:pt idx="128">
                  <c:v>-610240.83414364397</c:v>
                </c:pt>
                <c:pt idx="129">
                  <c:v>-608263.6320559734</c:v>
                </c:pt>
                <c:pt idx="130">
                  <c:v>-606276.89487450873</c:v>
                </c:pt>
                <c:pt idx="131">
                  <c:v>-604280.57585955877</c:v>
                </c:pt>
                <c:pt idx="132">
                  <c:v>-602274.6280402292</c:v>
                </c:pt>
                <c:pt idx="133">
                  <c:v>-600259.00421327341</c:v>
                </c:pt>
                <c:pt idx="134">
                  <c:v>-598233.65694193705</c:v>
                </c:pt>
                <c:pt idx="135">
                  <c:v>-596198.53855479753</c:v>
                </c:pt>
                <c:pt idx="136">
                  <c:v>-594153.6011445974</c:v>
                </c:pt>
                <c:pt idx="137">
                  <c:v>-592098.79656707169</c:v>
                </c:pt>
                <c:pt idx="138">
                  <c:v>-590034.07643976971</c:v>
                </c:pt>
                <c:pt idx="139">
                  <c:v>-587959.3921408708</c:v>
                </c:pt>
                <c:pt idx="140">
                  <c:v>-585874.69480799453</c:v>
                </c:pt>
                <c:pt idx="141">
                  <c:v>-583779.93533700425</c:v>
                </c:pt>
                <c:pt idx="142">
                  <c:v>-581675.06438080571</c:v>
                </c:pt>
                <c:pt idx="143">
                  <c:v>-579560.0323481384</c:v>
                </c:pt>
                <c:pt idx="144">
                  <c:v>-577434.78940236219</c:v>
                </c:pt>
                <c:pt idx="145">
                  <c:v>-575299.28546023718</c:v>
                </c:pt>
                <c:pt idx="146">
                  <c:v>-573153.47019069712</c:v>
                </c:pt>
                <c:pt idx="147">
                  <c:v>-570997.29301361786</c:v>
                </c:pt>
                <c:pt idx="148">
                  <c:v>-568830.70309857849</c:v>
                </c:pt>
                <c:pt idx="149">
                  <c:v>-566653.64936361683</c:v>
                </c:pt>
                <c:pt idx="150">
                  <c:v>-564466.08047397912</c:v>
                </c:pt>
                <c:pt idx="151">
                  <c:v>-562267.94484086276</c:v>
                </c:pt>
                <c:pt idx="152">
                  <c:v>-560059.19062015275</c:v>
                </c:pt>
                <c:pt idx="153">
                  <c:v>-557839.76571115293</c:v>
                </c:pt>
                <c:pt idx="154">
                  <c:v>-555609.6177553091</c:v>
                </c:pt>
                <c:pt idx="155">
                  <c:v>-553368.69413492759</c:v>
                </c:pt>
                <c:pt idx="156">
                  <c:v>-551116.94197188644</c:v>
                </c:pt>
                <c:pt idx="157">
                  <c:v>-548854.30812634015</c:v>
                </c:pt>
                <c:pt idx="158">
                  <c:v>-546580.73919541843</c:v>
                </c:pt>
                <c:pt idx="159">
                  <c:v>-544296.18151191797</c:v>
                </c:pt>
                <c:pt idx="160">
                  <c:v>-542000.58114298806</c:v>
                </c:pt>
                <c:pt idx="161">
                  <c:v>-539693.88388880948</c:v>
                </c:pt>
                <c:pt idx="162">
                  <c:v>-537376.03528126702</c:v>
                </c:pt>
                <c:pt idx="163">
                  <c:v>-535046.98058261489</c:v>
                </c:pt>
                <c:pt idx="164">
                  <c:v>-532706.664784136</c:v>
                </c:pt>
                <c:pt idx="165">
                  <c:v>-530355.03260479437</c:v>
                </c:pt>
                <c:pt idx="166">
                  <c:v>-527992.02848988061</c:v>
                </c:pt>
                <c:pt idx="167">
                  <c:v>-525617.59660965111</c:v>
                </c:pt>
                <c:pt idx="168">
                  <c:v>-523231.68085796002</c:v>
                </c:pt>
                <c:pt idx="169">
                  <c:v>-520834.22485088452</c:v>
                </c:pt>
                <c:pt idx="170">
                  <c:v>-518425.17192534328</c:v>
                </c:pt>
                <c:pt idx="171">
                  <c:v>-516004.46513770823</c:v>
                </c:pt>
                <c:pt idx="172">
                  <c:v>-513572.04726240889</c:v>
                </c:pt>
                <c:pt idx="173">
                  <c:v>-511127.86079053057</c:v>
                </c:pt>
                <c:pt idx="174">
                  <c:v>-508671.84792840434</c:v>
                </c:pt>
                <c:pt idx="175">
                  <c:v>-506203.95059619122</c:v>
                </c:pt>
                <c:pt idx="176">
                  <c:v>-503724.11042645876</c:v>
                </c:pt>
                <c:pt idx="177">
                  <c:v>-501232.26876275043</c:v>
                </c:pt>
                <c:pt idx="178">
                  <c:v>-498728.36665814795</c:v>
                </c:pt>
                <c:pt idx="179">
                  <c:v>-496212.34487382672</c:v>
                </c:pt>
                <c:pt idx="180">
                  <c:v>-493684.14387760352</c:v>
                </c:pt>
                <c:pt idx="181">
                  <c:v>-491143.70384247764</c:v>
                </c:pt>
                <c:pt idx="182">
                  <c:v>-488590.96464516403</c:v>
                </c:pt>
                <c:pt idx="183">
                  <c:v>-486025.86586461985</c:v>
                </c:pt>
                <c:pt idx="184">
                  <c:v>-483448.34678056295</c:v>
                </c:pt>
                <c:pt idx="185">
                  <c:v>-480858.34637198335</c:v>
                </c:pt>
                <c:pt idx="186">
                  <c:v>-478255.80331564764</c:v>
                </c:pt>
                <c:pt idx="187">
                  <c:v>-475640.65598459501</c:v>
                </c:pt>
                <c:pt idx="188">
                  <c:v>-473012.8424466268</c:v>
                </c:pt>
                <c:pt idx="189">
                  <c:v>-470372.30046278774</c:v>
                </c:pt>
                <c:pt idx="190">
                  <c:v>-467718.96748583985</c:v>
                </c:pt>
                <c:pt idx="191">
                  <c:v>-465052.78065872926</c:v>
                </c:pt>
                <c:pt idx="192">
                  <c:v>-462373.67681304424</c:v>
                </c:pt>
                <c:pt idx="193">
                  <c:v>-459681.59246746689</c:v>
                </c:pt>
                <c:pt idx="194">
                  <c:v>-456976.46382621594</c:v>
                </c:pt>
                <c:pt idx="195">
                  <c:v>-454258.22677748255</c:v>
                </c:pt>
                <c:pt idx="196">
                  <c:v>-451526.81689185783</c:v>
                </c:pt>
                <c:pt idx="197">
                  <c:v>-448782.16942075291</c:v>
                </c:pt>
                <c:pt idx="198">
                  <c:v>-446024.21929481108</c:v>
                </c:pt>
                <c:pt idx="199">
                  <c:v>-443252.90112231136</c:v>
                </c:pt>
                <c:pt idx="200">
                  <c:v>-440468.1491875652</c:v>
                </c:pt>
                <c:pt idx="201">
                  <c:v>-437669.89744930435</c:v>
                </c:pt>
                <c:pt idx="202">
                  <c:v>-434858.079539061</c:v>
                </c:pt>
                <c:pt idx="203">
                  <c:v>-432032.62875953986</c:v>
                </c:pt>
                <c:pt idx="204">
                  <c:v>-429193.47808298178</c:v>
                </c:pt>
                <c:pt idx="205">
                  <c:v>-426340.56014952</c:v>
                </c:pt>
                <c:pt idx="206">
                  <c:v>-423473.80726552726</c:v>
                </c:pt>
                <c:pt idx="207">
                  <c:v>-420593.15140195523</c:v>
                </c:pt>
                <c:pt idx="208">
                  <c:v>-417698.52419266559</c:v>
                </c:pt>
                <c:pt idx="209">
                  <c:v>-414789.85693275265</c:v>
                </c:pt>
                <c:pt idx="210">
                  <c:v>-411867.0805768579</c:v>
                </c:pt>
                <c:pt idx="211">
                  <c:v>-408930.12573747552</c:v>
                </c:pt>
                <c:pt idx="212">
                  <c:v>-405978.9226832501</c:v>
                </c:pt>
                <c:pt idx="213">
                  <c:v>-403013.40133726591</c:v>
                </c:pt>
                <c:pt idx="214">
                  <c:v>-400033.49127532664</c:v>
                </c:pt>
                <c:pt idx="215">
                  <c:v>-397039.12172422803</c:v>
                </c:pt>
                <c:pt idx="216">
                  <c:v>-394030.2215600207</c:v>
                </c:pt>
                <c:pt idx="217">
                  <c:v>-391006.71930626483</c:v>
                </c:pt>
                <c:pt idx="218">
                  <c:v>-387968.54313227598</c:v>
                </c:pt>
                <c:pt idx="219">
                  <c:v>-384915.62085136247</c:v>
                </c:pt>
                <c:pt idx="220">
                  <c:v>-381847.87991905352</c:v>
                </c:pt>
                <c:pt idx="221">
                  <c:v>-378765.2474313188</c:v>
                </c:pt>
                <c:pt idx="222">
                  <c:v>-375667.65012277919</c:v>
                </c:pt>
                <c:pt idx="223">
                  <c:v>-372555.01436490833</c:v>
                </c:pt>
                <c:pt idx="224">
                  <c:v>-369427.26616422553</c:v>
                </c:pt>
                <c:pt idx="225">
                  <c:v>-366284.33116047934</c:v>
                </c:pt>
                <c:pt idx="226">
                  <c:v>-363126.13462482218</c:v>
                </c:pt>
                <c:pt idx="227">
                  <c:v>-359952.60145797627</c:v>
                </c:pt>
                <c:pt idx="228">
                  <c:v>-356763.65618838946</c:v>
                </c:pt>
                <c:pt idx="229">
                  <c:v>-353559.22297038307</c:v>
                </c:pt>
                <c:pt idx="230">
                  <c:v>-350339.22558228951</c:v>
                </c:pt>
                <c:pt idx="231">
                  <c:v>-347103.58742458088</c:v>
                </c:pt>
                <c:pt idx="232">
                  <c:v>-343852.23151798872</c:v>
                </c:pt>
                <c:pt idx="233">
                  <c:v>-340585.08050161379</c:v>
                </c:pt>
                <c:pt idx="234">
                  <c:v>-337302.05663102638</c:v>
                </c:pt>
                <c:pt idx="235">
                  <c:v>-334003.08177635778</c:v>
                </c:pt>
                <c:pt idx="236">
                  <c:v>-330688.0774203816</c:v>
                </c:pt>
                <c:pt idx="237">
                  <c:v>-327356.96465658589</c:v>
                </c:pt>
                <c:pt idx="238">
                  <c:v>-324009.66418723547</c:v>
                </c:pt>
                <c:pt idx="239">
                  <c:v>-320646.09632142464</c:v>
                </c:pt>
                <c:pt idx="240">
                  <c:v>-317266.18097312015</c:v>
                </c:pt>
                <c:pt idx="241">
                  <c:v>-313869.83765919431</c:v>
                </c:pt>
                <c:pt idx="242">
                  <c:v>-310456.98549744877</c:v>
                </c:pt>
                <c:pt idx="243">
                  <c:v>-307027.5432046277</c:v>
                </c:pt>
                <c:pt idx="244">
                  <c:v>-303581.42909442168</c:v>
                </c:pt>
                <c:pt idx="245">
                  <c:v>-300118.56107546133</c:v>
                </c:pt>
                <c:pt idx="246">
                  <c:v>-296638.85664930107</c:v>
                </c:pt>
                <c:pt idx="247">
                  <c:v>-293142.23290839256</c:v>
                </c:pt>
                <c:pt idx="248">
                  <c:v>-289628.60653404839</c:v>
                </c:pt>
                <c:pt idx="249">
                  <c:v>-286097.89379439555</c:v>
                </c:pt>
                <c:pt idx="250">
                  <c:v>-282550.01054231828</c:v>
                </c:pt>
                <c:pt idx="251">
                  <c:v>-278984.87221339118</c:v>
                </c:pt>
                <c:pt idx="252">
                  <c:v>-275402.3938238016</c:v>
                </c:pt>
                <c:pt idx="253">
                  <c:v>-271802.48996826232</c:v>
                </c:pt>
                <c:pt idx="254">
                  <c:v>-268185.07481791306</c:v>
                </c:pt>
                <c:pt idx="255">
                  <c:v>-264550.06211821141</c:v>
                </c:pt>
                <c:pt idx="256">
                  <c:v>-260897.36518681451</c:v>
                </c:pt>
                <c:pt idx="257">
                  <c:v>-257226.89691144862</c:v>
                </c:pt>
                <c:pt idx="258">
                  <c:v>-253538.56974776916</c:v>
                </c:pt>
                <c:pt idx="259">
                  <c:v>-249832.29571720934</c:v>
                </c:pt>
                <c:pt idx="260">
                  <c:v>-246107.9864048186</c:v>
                </c:pt>
                <c:pt idx="261">
                  <c:v>-242365.55295708991</c:v>
                </c:pt>
                <c:pt idx="262">
                  <c:v>-238604.9060797767</c:v>
                </c:pt>
                <c:pt idx="263">
                  <c:v>-234825.95603569783</c:v>
                </c:pt>
                <c:pt idx="264">
                  <c:v>-231028.61264253338</c:v>
                </c:pt>
                <c:pt idx="265">
                  <c:v>-227212.78527060756</c:v>
                </c:pt>
                <c:pt idx="266">
                  <c:v>-223378.38284066168</c:v>
                </c:pt>
                <c:pt idx="267">
                  <c:v>-219525.31382161588</c:v>
                </c:pt>
                <c:pt idx="268">
                  <c:v>-215653.4862283197</c:v>
                </c:pt>
                <c:pt idx="269">
                  <c:v>-211762.80761929054</c:v>
                </c:pt>
                <c:pt idx="270">
                  <c:v>-207853.18509444245</c:v>
                </c:pt>
                <c:pt idx="271">
                  <c:v>-203924.52529280225</c:v>
                </c:pt>
                <c:pt idx="272">
                  <c:v>-199976.7343902149</c:v>
                </c:pt>
                <c:pt idx="273">
                  <c:v>-196009.71809703717</c:v>
                </c:pt>
                <c:pt idx="274">
                  <c:v>-192023.38165581983</c:v>
                </c:pt>
                <c:pt idx="275">
                  <c:v>-188017.62983897852</c:v>
                </c:pt>
                <c:pt idx="276">
                  <c:v>-183992.36694645276</c:v>
                </c:pt>
                <c:pt idx="277">
                  <c:v>-179947.49680335307</c:v>
                </c:pt>
                <c:pt idx="278">
                  <c:v>-175882.92275759694</c:v>
                </c:pt>
                <c:pt idx="279">
                  <c:v>-171798.54767753265</c:v>
                </c:pt>
                <c:pt idx="280">
                  <c:v>-167694.27394955105</c:v>
                </c:pt>
                <c:pt idx="281">
                  <c:v>-163570.00347568595</c:v>
                </c:pt>
                <c:pt idx="282">
                  <c:v>-159425.63767120196</c:v>
                </c:pt>
                <c:pt idx="283">
                  <c:v>-155261.07746217051</c:v>
                </c:pt>
                <c:pt idx="284">
                  <c:v>-151076.22328303428</c:v>
                </c:pt>
                <c:pt idx="285">
                  <c:v>-146870.97507415852</c:v>
                </c:pt>
                <c:pt idx="286">
                  <c:v>-142645.23227937089</c:v>
                </c:pt>
                <c:pt idx="287">
                  <c:v>-138398.89384348888</c:v>
                </c:pt>
                <c:pt idx="288">
                  <c:v>-134131.85820983478</c:v>
                </c:pt>
                <c:pt idx="289">
                  <c:v>-129844.02331773809</c:v>
                </c:pt>
                <c:pt idx="290">
                  <c:v>-125535.28660002584</c:v>
                </c:pt>
                <c:pt idx="291">
                  <c:v>-121205.54498050024</c:v>
                </c:pt>
                <c:pt idx="292">
                  <c:v>-116854.69487140351</c:v>
                </c:pt>
                <c:pt idx="293">
                  <c:v>-112482.63217087067</c:v>
                </c:pt>
                <c:pt idx="294">
                  <c:v>-108089.2522603689</c:v>
                </c:pt>
                <c:pt idx="295">
                  <c:v>-103674.4500021243</c:v>
                </c:pt>
                <c:pt idx="296">
                  <c:v>-99238.11973653629</c:v>
                </c:pt>
                <c:pt idx="297">
                  <c:v>-94780.155279578757</c:v>
                </c:pt>
                <c:pt idx="298">
                  <c:v>-90300.449920188054</c:v>
                </c:pt>
                <c:pt idx="299">
                  <c:v>-85798.896417638403</c:v>
                </c:pt>
                <c:pt idx="300">
                  <c:v>-81275.386998903588</c:v>
                </c:pt>
                <c:pt idx="301">
                  <c:v>-76729.813356006052</c:v>
                </c:pt>
                <c:pt idx="302">
                  <c:v>-72162.066643353086</c:v>
                </c:pt>
                <c:pt idx="303">
                  <c:v>-67572.037475058343</c:v>
                </c:pt>
                <c:pt idx="304">
                  <c:v>-62959.615922251367</c:v>
                </c:pt>
                <c:pt idx="305">
                  <c:v>-58324.691510373261</c:v>
                </c:pt>
                <c:pt idx="306">
                  <c:v>-53667.153216458508</c:v>
                </c:pt>
                <c:pt idx="307">
                  <c:v>-48986.889466403634</c:v>
                </c:pt>
                <c:pt idx="308">
                  <c:v>-44283.78813222202</c:v>
                </c:pt>
                <c:pt idx="309">
                  <c:v>-39557.736529285554</c:v>
                </c:pt>
                <c:pt idx="310">
                  <c:v>-34808.621413551387</c:v>
                </c:pt>
                <c:pt idx="311">
                  <c:v>-30036.328978776233</c:v>
                </c:pt>
                <c:pt idx="312">
                  <c:v>-25240.744853715645</c:v>
                </c:pt>
                <c:pt idx="313">
                  <c:v>-20421.754099309794</c:v>
                </c:pt>
                <c:pt idx="314">
                  <c:v>-15579.241205855506</c:v>
                </c:pt>
                <c:pt idx="315">
                  <c:v>-10713.090090163401</c:v>
                </c:pt>
                <c:pt idx="316">
                  <c:v>-5823.1840927016456</c:v>
                </c:pt>
                <c:pt idx="317">
                  <c:v>-909.40597472467925</c:v>
                </c:pt>
                <c:pt idx="318">
                  <c:v>4028.3620846112026</c:v>
                </c:pt>
                <c:pt idx="319">
                  <c:v>8990.2384911483387</c:v>
                </c:pt>
                <c:pt idx="320">
                  <c:v>13976.342238641228</c:v>
                </c:pt>
                <c:pt idx="321">
                  <c:v>18986.792911684955</c:v>
                </c:pt>
                <c:pt idx="322">
                  <c:v>24021.710688658874</c:v>
                </c:pt>
                <c:pt idx="323">
                  <c:v>29081.21634468413</c:v>
                </c:pt>
                <c:pt idx="324">
                  <c:v>34165.431254596333</c:v>
                </c:pt>
                <c:pt idx="325">
                  <c:v>39274.477395933238</c:v>
                </c:pt>
                <c:pt idx="326">
                  <c:v>44408.477351937094</c:v>
                </c:pt>
                <c:pt idx="327">
                  <c:v>49567.554314571666</c:v>
                </c:pt>
                <c:pt idx="328">
                  <c:v>54751.832087555085</c:v>
                </c:pt>
                <c:pt idx="329">
                  <c:v>59961.435089407139</c:v>
                </c:pt>
                <c:pt idx="330">
                  <c:v>65196.488356512156</c:v>
                </c:pt>
                <c:pt idx="331">
                  <c:v>70457.117546197143</c:v>
                </c:pt>
                <c:pt idx="332">
                  <c:v>75743.448939824942</c:v>
                </c:pt>
                <c:pt idx="333">
                  <c:v>81055.609445903334</c:v>
                </c:pt>
                <c:pt idx="334">
                  <c:v>86393.726603209157</c:v>
                </c:pt>
                <c:pt idx="335">
                  <c:v>91757.928583928384</c:v>
                </c:pt>
                <c:pt idx="336">
                  <c:v>97148.344196811784</c:v>
                </c:pt>
                <c:pt idx="337">
                  <c:v>102565.10289034608</c:v>
                </c:pt>
                <c:pt idx="338">
                  <c:v>108008.33475594153</c:v>
                </c:pt>
                <c:pt idx="339">
                  <c:v>113478.1705311347</c:v>
                </c:pt>
                <c:pt idx="340">
                  <c:v>118974.74160280754</c:v>
                </c:pt>
                <c:pt idx="341">
                  <c:v>124498.18001042283</c:v>
                </c:pt>
                <c:pt idx="342">
                  <c:v>130048.61844927515</c:v>
                </c:pt>
                <c:pt idx="343">
                  <c:v>135626.19027375849</c:v>
                </c:pt>
                <c:pt idx="344">
                  <c:v>141231.02950065024</c:v>
                </c:pt>
                <c:pt idx="345">
                  <c:v>146863.27081241121</c:v>
                </c:pt>
                <c:pt idx="346">
                  <c:v>152523.04956050229</c:v>
                </c:pt>
                <c:pt idx="347">
                  <c:v>158210.50176871789</c:v>
                </c:pt>
                <c:pt idx="348">
                  <c:v>163925.7641365357</c:v>
                </c:pt>
                <c:pt idx="349">
                  <c:v>169668.97404248314</c:v>
                </c:pt>
                <c:pt idx="350">
                  <c:v>175440.26954752114</c:v>
                </c:pt>
                <c:pt idx="351">
                  <c:v>181239.78939844389</c:v>
                </c:pt>
                <c:pt idx="352">
                  <c:v>187067.67303129635</c:v>
                </c:pt>
                <c:pt idx="353">
                  <c:v>192924.06057480874</c:v>
                </c:pt>
                <c:pt idx="354">
                  <c:v>198809.09285384754</c:v>
                </c:pt>
                <c:pt idx="355">
                  <c:v>204722.91139288468</c:v>
                </c:pt>
                <c:pt idx="356">
                  <c:v>210665.65841948299</c:v>
                </c:pt>
                <c:pt idx="357">
                  <c:v>216637.4768678</c:v>
                </c:pt>
                <c:pt idx="358">
                  <c:v>222638.51038210862</c:v>
                </c:pt>
                <c:pt idx="359">
                  <c:v>228668.90332033532</c:v>
                </c:pt>
                <c:pt idx="360">
                  <c:v>234728.80075761664</c:v>
                </c:pt>
                <c:pt idx="361">
                  <c:v>240818.34848987288</c:v>
                </c:pt>
                <c:pt idx="362">
                  <c:v>246937.69303739956</c:v>
                </c:pt>
                <c:pt idx="363">
                  <c:v>253086.98164847749</c:v>
                </c:pt>
                <c:pt idx="364">
                  <c:v>259266.36230299983</c:v>
                </c:pt>
                <c:pt idx="365">
                  <c:v>265475.98371611827</c:v>
                </c:pt>
                <c:pt idx="366">
                  <c:v>271715.99534190644</c:v>
                </c:pt>
                <c:pt idx="367">
                  <c:v>277986.54737704282</c:v>
                </c:pt>
                <c:pt idx="368">
                  <c:v>284287.79076451075</c:v>
                </c:pt>
                <c:pt idx="369">
                  <c:v>290619.87719731755</c:v>
                </c:pt>
                <c:pt idx="370">
                  <c:v>296982.95912223228</c:v>
                </c:pt>
                <c:pt idx="371">
                  <c:v>303377.18974354211</c:v>
                </c:pt>
                <c:pt idx="372">
                  <c:v>309802.72302682698</c:v>
                </c:pt>
                <c:pt idx="373">
                  <c:v>316259.71370275377</c:v>
                </c:pt>
                <c:pt idx="374">
                  <c:v>322748.31727088895</c:v>
                </c:pt>
                <c:pt idx="375">
                  <c:v>329268.69000353059</c:v>
                </c:pt>
                <c:pt idx="376">
                  <c:v>335820.9889495587</c:v>
                </c:pt>
                <c:pt idx="377">
                  <c:v>342405.37193830649</c:v>
                </c:pt>
                <c:pt idx="378">
                  <c:v>349021.99758344865</c:v>
                </c:pt>
                <c:pt idx="379">
                  <c:v>355671.02528691094</c:v>
                </c:pt>
                <c:pt idx="380">
                  <c:v>362352.61524279881</c:v>
                </c:pt>
                <c:pt idx="381">
                  <c:v>369066.92844134453</c:v>
                </c:pt>
                <c:pt idx="382">
                  <c:v>375814.12667287607</c:v>
                </c:pt>
                <c:pt idx="383">
                  <c:v>382594.37253180332</c:v>
                </c:pt>
                <c:pt idx="384">
                  <c:v>389407.82942062686</c:v>
                </c:pt>
                <c:pt idx="385">
                  <c:v>396254.66155396402</c:v>
                </c:pt>
                <c:pt idx="386">
                  <c:v>403135.03396259795</c:v>
                </c:pt>
                <c:pt idx="387">
                  <c:v>410049.11249754403</c:v>
                </c:pt>
                <c:pt idx="388">
                  <c:v>416997.06383413868</c:v>
                </c:pt>
                <c:pt idx="389">
                  <c:v>423979.0554761471</c:v>
                </c:pt>
                <c:pt idx="390">
                  <c:v>430995.2557598931</c:v>
                </c:pt>
                <c:pt idx="391">
                  <c:v>438045.83385840827</c:v>
                </c:pt>
                <c:pt idx="392">
                  <c:v>445130.95978560182</c:v>
                </c:pt>
                <c:pt idx="393">
                  <c:v>452250.80440045241</c:v>
                </c:pt>
                <c:pt idx="394">
                  <c:v>459405.53941121977</c:v>
                </c:pt>
                <c:pt idx="395">
                  <c:v>466595.33737967757</c:v>
                </c:pt>
                <c:pt idx="396">
                  <c:v>473820.3717253682</c:v>
                </c:pt>
                <c:pt idx="397">
                  <c:v>481080.81672987726</c:v>
                </c:pt>
                <c:pt idx="398">
                  <c:v>488376.8475411312</c:v>
                </c:pt>
                <c:pt idx="399">
                  <c:v>495708.64017771499</c:v>
                </c:pt>
                <c:pt idx="400">
                  <c:v>503076.37153321214</c:v>
                </c:pt>
                <c:pt idx="401">
                  <c:v>510480.21938056569</c:v>
                </c:pt>
                <c:pt idx="402">
                  <c:v>517920.36237646174</c:v>
                </c:pt>
                <c:pt idx="403">
                  <c:v>525396.98006573471</c:v>
                </c:pt>
                <c:pt idx="404">
                  <c:v>532910.25288579368</c:v>
                </c:pt>
                <c:pt idx="405">
                  <c:v>540460.3621710724</c:v>
                </c:pt>
                <c:pt idx="406">
                  <c:v>548047.49015749956</c:v>
                </c:pt>
                <c:pt idx="407">
                  <c:v>555671.8199869938</c:v>
                </c:pt>
                <c:pt idx="408">
                  <c:v>563333.53571197891</c:v>
                </c:pt>
                <c:pt idx="409">
                  <c:v>571032.82229992223</c:v>
                </c:pt>
                <c:pt idx="410">
                  <c:v>578769.86563789705</c:v>
                </c:pt>
                <c:pt idx="411">
                  <c:v>586544.85253716551</c:v>
                </c:pt>
                <c:pt idx="412">
                  <c:v>594357.97073778673</c:v>
                </c:pt>
                <c:pt idx="413">
                  <c:v>602209.40891324542</c:v>
                </c:pt>
                <c:pt idx="414">
                  <c:v>610099.35667510598</c:v>
                </c:pt>
                <c:pt idx="415">
                  <c:v>618028.00457768887</c:v>
                </c:pt>
                <c:pt idx="416">
                  <c:v>625995.54412276915</c:v>
                </c:pt>
                <c:pt idx="417">
                  <c:v>634002.1677643006</c:v>
                </c:pt>
                <c:pt idx="418">
                  <c:v>642048.06891316234</c:v>
                </c:pt>
                <c:pt idx="419">
                  <c:v>650133.44194192847</c:v>
                </c:pt>
                <c:pt idx="420">
                  <c:v>658258.48218966299</c:v>
                </c:pt>
                <c:pt idx="421">
                  <c:v>666423.38596673741</c:v>
                </c:pt>
                <c:pt idx="422">
                  <c:v>674628.35055967362</c:v>
                </c:pt>
                <c:pt idx="423">
                  <c:v>682873.5742360095</c:v>
                </c:pt>
                <c:pt idx="424">
                  <c:v>691159.25624918984</c:v>
                </c:pt>
                <c:pt idx="425">
                  <c:v>699485.59684348118</c:v>
                </c:pt>
                <c:pt idx="426">
                  <c:v>707852.79725891224</c:v>
                </c:pt>
                <c:pt idx="427">
                  <c:v>716261.05973623705</c:v>
                </c:pt>
                <c:pt idx="428">
                  <c:v>724710.58752192464</c:v>
                </c:pt>
                <c:pt idx="429">
                  <c:v>733201.58487317257</c:v>
                </c:pt>
                <c:pt idx="430">
                  <c:v>741734.25706294656</c:v>
                </c:pt>
                <c:pt idx="431">
                  <c:v>750308.81038504373</c:v>
                </c:pt>
                <c:pt idx="432">
                  <c:v>758925.45215918275</c:v>
                </c:pt>
                <c:pt idx="433">
                  <c:v>767584.39073611831</c:v>
                </c:pt>
                <c:pt idx="434">
                  <c:v>776285.83550278167</c:v>
                </c:pt>
                <c:pt idx="435">
                  <c:v>785029.99688744626</c:v>
                </c:pt>
                <c:pt idx="436">
                  <c:v>793817.08636492002</c:v>
                </c:pt>
                <c:pt idx="437">
                  <c:v>802647.31646176253</c:v>
                </c:pt>
                <c:pt idx="438">
                  <c:v>811520.90076152934</c:v>
                </c:pt>
                <c:pt idx="439">
                  <c:v>820438.05391004158</c:v>
                </c:pt>
                <c:pt idx="440">
                  <c:v>829398.99162068206</c:v>
                </c:pt>
                <c:pt idx="441">
                  <c:v>838403.93067971885</c:v>
                </c:pt>
                <c:pt idx="442">
                  <c:v>847453.08895165322</c:v>
                </c:pt>
                <c:pt idx="443">
                  <c:v>856546.6853845967</c:v>
                </c:pt>
                <c:pt idx="444">
                  <c:v>865684.94001567329</c:v>
                </c:pt>
                <c:pt idx="445">
                  <c:v>874868.07397644978</c:v>
                </c:pt>
                <c:pt idx="446">
                  <c:v>884096.30949839216</c:v>
                </c:pt>
                <c:pt idx="447">
                  <c:v>893369.86991834955</c:v>
                </c:pt>
                <c:pt idx="448">
                  <c:v>902688.97968406684</c:v>
                </c:pt>
                <c:pt idx="449">
                  <c:v>912053.86435972236</c:v>
                </c:pt>
                <c:pt idx="450">
                  <c:v>921464.75063149538</c:v>
                </c:pt>
                <c:pt idx="451">
                  <c:v>930921.8663131604</c:v>
                </c:pt>
                <c:pt idx="452">
                  <c:v>940425.44035170984</c:v>
                </c:pt>
                <c:pt idx="453">
                  <c:v>949975.70283300406</c:v>
                </c:pt>
                <c:pt idx="454">
                  <c:v>959572.8849874502</c:v>
                </c:pt>
                <c:pt idx="455">
                  <c:v>969217.21919570921</c:v>
                </c:pt>
                <c:pt idx="456">
                  <c:v>978908.93899443175</c:v>
                </c:pt>
                <c:pt idx="457">
                  <c:v>988648.27908202191</c:v>
                </c:pt>
                <c:pt idx="458">
                  <c:v>998435.47532443039</c:v>
                </c:pt>
                <c:pt idx="459">
                  <c:v>1008270.7647609762</c:v>
                </c:pt>
                <c:pt idx="460">
                  <c:v>1018154.3856101979</c:v>
                </c:pt>
                <c:pt idx="461">
                  <c:v>1028086.5772757333</c:v>
                </c:pt>
                <c:pt idx="462">
                  <c:v>1038067.5803522298</c:v>
                </c:pt>
                <c:pt idx="463">
                  <c:v>1048097.6366312823</c:v>
                </c:pt>
                <c:pt idx="464">
                  <c:v>1058176.989107403</c:v>
                </c:pt>
                <c:pt idx="465">
                  <c:v>1068305.8819840187</c:v>
                </c:pt>
                <c:pt idx="466">
                  <c:v>1078484.5606795005</c:v>
                </c:pt>
                <c:pt idx="467">
                  <c:v>1088713.271833221</c:v>
                </c:pt>
                <c:pt idx="468">
                  <c:v>1098992.2633116446</c:v>
                </c:pt>
                <c:pt idx="469">
                  <c:v>1109321.7842144447</c:v>
                </c:pt>
                <c:pt idx="470">
                  <c:v>1119702.0848806556</c:v>
                </c:pt>
                <c:pt idx="471">
                  <c:v>1130133.4168948513</c:v>
                </c:pt>
                <c:pt idx="472">
                  <c:v>1140616.0330933575</c:v>
                </c:pt>
                <c:pt idx="473">
                  <c:v>1151150.1875704932</c:v>
                </c:pt>
                <c:pt idx="474">
                  <c:v>1161736.135684846</c:v>
                </c:pt>
                <c:pt idx="475">
                  <c:v>1172374.1340655747</c:v>
                </c:pt>
                <c:pt idx="476">
                  <c:v>1183064.4406187464</c:v>
                </c:pt>
                <c:pt idx="477">
                  <c:v>1193807.3145337049</c:v>
                </c:pt>
                <c:pt idx="478">
                  <c:v>1204603.0162894698</c:v>
                </c:pt>
                <c:pt idx="479">
                  <c:v>1215451.8076611685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86-AC43-BC2F-9CD90E4A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450479"/>
        <c:axId val="816928431"/>
      </c:lineChart>
      <c:catAx>
        <c:axId val="558450479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6928431"/>
        <c:crosses val="autoZero"/>
        <c:auto val="1"/>
        <c:lblAlgn val="ctr"/>
        <c:lblOffset val="100"/>
        <c:noMultiLvlLbl val="0"/>
      </c:catAx>
      <c:valAx>
        <c:axId val="8169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84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16</xdr:col>
      <xdr:colOff>12700</xdr:colOff>
      <xdr:row>34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03CFB5-8A70-DE40-8FA4-8B2E2C54E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2984-226E-8A43-8920-B2D654F3E3FA}">
  <dimension ref="A1:F133"/>
  <sheetViews>
    <sheetView tabSelected="1" workbookViewId="0">
      <selection activeCell="B3" sqref="B3"/>
    </sheetView>
  </sheetViews>
  <sheetFormatPr baseColWidth="10" defaultRowHeight="16" x14ac:dyDescent="0.2"/>
  <cols>
    <col min="1" max="1" width="41.5" bestFit="1" customWidth="1"/>
    <col min="2" max="2" width="29.6640625" bestFit="1" customWidth="1"/>
    <col min="3" max="3" width="11" bestFit="1" customWidth="1"/>
    <col min="4" max="4" width="12.1640625" bestFit="1" customWidth="1"/>
    <col min="5" max="5" width="18.6640625" bestFit="1" customWidth="1"/>
    <col min="6" max="6" width="12.5" bestFit="1" customWidth="1"/>
  </cols>
  <sheetData>
    <row r="1" spans="1:6" ht="21" x14ac:dyDescent="0.25">
      <c r="A1" s="1" t="s">
        <v>0</v>
      </c>
    </row>
    <row r="3" spans="1:6" x14ac:dyDescent="0.2">
      <c r="B3" t="s">
        <v>119</v>
      </c>
      <c r="C3" s="5">
        <v>6.5</v>
      </c>
    </row>
    <row r="7" spans="1:6" ht="27" x14ac:dyDescent="0.35">
      <c r="A7" s="3" t="s">
        <v>4</v>
      </c>
      <c r="B7" s="8" t="s">
        <v>1</v>
      </c>
      <c r="C7" s="8" t="s">
        <v>11</v>
      </c>
      <c r="D7" s="8" t="s">
        <v>8</v>
      </c>
      <c r="E7" s="9" t="s">
        <v>10</v>
      </c>
      <c r="F7" s="8" t="s">
        <v>9</v>
      </c>
    </row>
    <row r="8" spans="1:6" x14ac:dyDescent="0.2">
      <c r="B8" t="s">
        <v>2</v>
      </c>
      <c r="C8" s="5">
        <v>200000</v>
      </c>
      <c r="D8">
        <v>100</v>
      </c>
      <c r="E8" s="6">
        <f>C8*D8/100</f>
        <v>200000</v>
      </c>
    </row>
    <row r="9" spans="1:6" x14ac:dyDescent="0.2">
      <c r="B9" t="s">
        <v>3</v>
      </c>
      <c r="C9" s="4">
        <f>C8*C3/100</f>
        <v>13000</v>
      </c>
      <c r="D9">
        <v>100</v>
      </c>
      <c r="E9" s="6">
        <f t="shared" ref="E9:E13" si="0">C9*D9/100</f>
        <v>13000</v>
      </c>
    </row>
    <row r="10" spans="1:6" x14ac:dyDescent="0.2">
      <c r="B10" t="s">
        <v>5</v>
      </c>
      <c r="C10" s="5">
        <v>1300</v>
      </c>
      <c r="D10">
        <v>100</v>
      </c>
      <c r="E10" s="6">
        <f t="shared" si="0"/>
        <v>1300</v>
      </c>
    </row>
    <row r="11" spans="1:6" x14ac:dyDescent="0.2">
      <c r="B11" t="s">
        <v>6</v>
      </c>
      <c r="C11" s="5">
        <v>2000</v>
      </c>
      <c r="D11">
        <v>100</v>
      </c>
      <c r="E11" s="6">
        <f t="shared" si="0"/>
        <v>2000</v>
      </c>
    </row>
    <row r="12" spans="1:6" x14ac:dyDescent="0.2">
      <c r="B12" t="s">
        <v>7</v>
      </c>
      <c r="C12" s="5">
        <v>1000</v>
      </c>
      <c r="D12">
        <v>100</v>
      </c>
      <c r="E12" s="6">
        <f t="shared" si="0"/>
        <v>1000</v>
      </c>
    </row>
    <row r="13" spans="1:6" x14ac:dyDescent="0.2">
      <c r="B13" t="s">
        <v>12</v>
      </c>
      <c r="C13" s="5">
        <v>700</v>
      </c>
      <c r="D13">
        <v>100</v>
      </c>
      <c r="E13" s="6">
        <f t="shared" si="0"/>
        <v>700</v>
      </c>
    </row>
    <row r="14" spans="1:6" x14ac:dyDescent="0.2">
      <c r="C14" s="5"/>
      <c r="E14" s="6"/>
    </row>
    <row r="15" spans="1:6" ht="27" x14ac:dyDescent="0.35">
      <c r="F15" s="7">
        <f>SUM(E8:E14)</f>
        <v>218000</v>
      </c>
    </row>
    <row r="19" spans="1:6" ht="27" x14ac:dyDescent="0.35">
      <c r="A19" s="3" t="s">
        <v>13</v>
      </c>
      <c r="B19" s="8" t="s">
        <v>1</v>
      </c>
      <c r="C19" s="8" t="s">
        <v>11</v>
      </c>
      <c r="D19" s="8" t="s">
        <v>8</v>
      </c>
      <c r="E19" s="9" t="s">
        <v>10</v>
      </c>
      <c r="F19" s="8" t="s">
        <v>9</v>
      </c>
    </row>
    <row r="20" spans="1:6" x14ac:dyDescent="0.2">
      <c r="B20" t="s">
        <v>14</v>
      </c>
      <c r="C20" s="5">
        <v>20000</v>
      </c>
      <c r="D20">
        <v>100</v>
      </c>
      <c r="E20" s="6">
        <f>C20*D20/100</f>
        <v>20000</v>
      </c>
    </row>
    <row r="21" spans="1:6" x14ac:dyDescent="0.2">
      <c r="B21" t="s">
        <v>15</v>
      </c>
      <c r="C21" s="5">
        <v>7000</v>
      </c>
      <c r="D21">
        <v>100</v>
      </c>
      <c r="E21" s="6">
        <f t="shared" ref="E21:E24" si="1">C21*D21/100</f>
        <v>7000</v>
      </c>
    </row>
    <row r="22" spans="1:6" x14ac:dyDescent="0.2">
      <c r="B22" t="s">
        <v>16</v>
      </c>
      <c r="C22" s="5">
        <v>30000</v>
      </c>
      <c r="D22">
        <v>100</v>
      </c>
      <c r="E22" s="6">
        <f t="shared" si="1"/>
        <v>30000</v>
      </c>
    </row>
    <row r="23" spans="1:6" x14ac:dyDescent="0.2">
      <c r="B23" t="s">
        <v>17</v>
      </c>
      <c r="C23" s="5">
        <v>500</v>
      </c>
      <c r="D23">
        <v>100</v>
      </c>
      <c r="E23" s="6">
        <f t="shared" si="1"/>
        <v>500</v>
      </c>
    </row>
    <row r="24" spans="1:6" x14ac:dyDescent="0.2">
      <c r="C24" s="5"/>
      <c r="E24" s="6">
        <f t="shared" si="1"/>
        <v>0</v>
      </c>
    </row>
    <row r="25" spans="1:6" ht="27" x14ac:dyDescent="0.35">
      <c r="F25" s="7">
        <f>SUM(E20:E24)</f>
        <v>57500</v>
      </c>
    </row>
    <row r="29" spans="1:6" ht="27" x14ac:dyDescent="0.35">
      <c r="A29" s="3" t="s">
        <v>18</v>
      </c>
      <c r="B29" s="8" t="s">
        <v>1</v>
      </c>
      <c r="C29" s="8" t="s">
        <v>11</v>
      </c>
      <c r="D29" s="8" t="s">
        <v>8</v>
      </c>
      <c r="E29" s="9" t="s">
        <v>10</v>
      </c>
      <c r="F29" s="8" t="s">
        <v>9</v>
      </c>
    </row>
    <row r="30" spans="1:6" x14ac:dyDescent="0.2">
      <c r="A30" t="s">
        <v>63</v>
      </c>
      <c r="B30" t="s">
        <v>19</v>
      </c>
      <c r="C30" s="5">
        <v>7500</v>
      </c>
      <c r="D30">
        <v>100</v>
      </c>
      <c r="E30" s="6">
        <f>C30*D30/100</f>
        <v>7500</v>
      </c>
    </row>
    <row r="31" spans="1:6" x14ac:dyDescent="0.2">
      <c r="B31" t="s">
        <v>20</v>
      </c>
      <c r="C31" s="5">
        <v>11000</v>
      </c>
      <c r="D31">
        <v>100</v>
      </c>
      <c r="E31" s="6">
        <f t="shared" ref="E31:E32" si="2">C31*D31/100</f>
        <v>11000</v>
      </c>
    </row>
    <row r="32" spans="1:6" x14ac:dyDescent="0.2">
      <c r="B32" t="s">
        <v>21</v>
      </c>
      <c r="C32" s="5">
        <v>4000</v>
      </c>
      <c r="D32">
        <v>100</v>
      </c>
      <c r="E32" s="6">
        <f t="shared" si="2"/>
        <v>4000</v>
      </c>
    </row>
    <row r="33" spans="1:5" x14ac:dyDescent="0.2">
      <c r="B33" t="s">
        <v>23</v>
      </c>
      <c r="C33" s="5">
        <v>1000</v>
      </c>
      <c r="D33">
        <v>100</v>
      </c>
      <c r="E33" s="6">
        <f t="shared" ref="E33" si="3">C33*D33/100</f>
        <v>1000</v>
      </c>
    </row>
    <row r="34" spans="1:5" x14ac:dyDescent="0.2">
      <c r="B34" t="s">
        <v>22</v>
      </c>
      <c r="C34" s="5">
        <v>500</v>
      </c>
      <c r="D34">
        <v>100</v>
      </c>
      <c r="E34" s="6">
        <f>C34*D34/100</f>
        <v>500</v>
      </c>
    </row>
    <row r="35" spans="1:5" x14ac:dyDescent="0.2">
      <c r="B35" t="s">
        <v>24</v>
      </c>
      <c r="C35" s="5">
        <v>2000</v>
      </c>
      <c r="D35">
        <v>100</v>
      </c>
      <c r="E35" s="6">
        <f>C35*D35/100</f>
        <v>2000</v>
      </c>
    </row>
    <row r="36" spans="1:5" x14ac:dyDescent="0.2">
      <c r="B36" t="s">
        <v>25</v>
      </c>
      <c r="C36" s="5">
        <v>4000</v>
      </c>
      <c r="D36">
        <v>100</v>
      </c>
      <c r="E36" s="6">
        <f>C36*D36/100</f>
        <v>4000</v>
      </c>
    </row>
    <row r="37" spans="1:5" x14ac:dyDescent="0.2">
      <c r="A37" t="s">
        <v>30</v>
      </c>
      <c r="B37" t="s">
        <v>31</v>
      </c>
      <c r="C37" s="5">
        <v>300</v>
      </c>
      <c r="D37">
        <v>100</v>
      </c>
      <c r="E37" s="6">
        <f>C37*D37/100</f>
        <v>300</v>
      </c>
    </row>
    <row r="38" spans="1:5" x14ac:dyDescent="0.2">
      <c r="B38" t="s">
        <v>32</v>
      </c>
      <c r="C38" s="5">
        <v>2000</v>
      </c>
      <c r="D38">
        <v>100</v>
      </c>
      <c r="E38" s="6">
        <f t="shared" ref="E38:E40" si="4">C38*D38/100</f>
        <v>2000</v>
      </c>
    </row>
    <row r="39" spans="1:5" x14ac:dyDescent="0.2">
      <c r="B39" t="s">
        <v>33</v>
      </c>
      <c r="C39" s="5">
        <v>400</v>
      </c>
      <c r="D39">
        <v>100</v>
      </c>
      <c r="E39" s="6">
        <f t="shared" si="4"/>
        <v>400</v>
      </c>
    </row>
    <row r="40" spans="1:5" x14ac:dyDescent="0.2">
      <c r="B40" t="s">
        <v>34</v>
      </c>
      <c r="C40" s="5">
        <v>2500</v>
      </c>
      <c r="D40">
        <v>100</v>
      </c>
      <c r="E40" s="6">
        <f t="shared" si="4"/>
        <v>2500</v>
      </c>
    </row>
    <row r="41" spans="1:5" x14ac:dyDescent="0.2">
      <c r="B41" t="s">
        <v>35</v>
      </c>
      <c r="C41" s="5">
        <v>1500</v>
      </c>
      <c r="D41">
        <v>100</v>
      </c>
      <c r="E41" s="6">
        <f>C41*D41/100</f>
        <v>1500</v>
      </c>
    </row>
    <row r="42" spans="1:5" x14ac:dyDescent="0.2">
      <c r="B42" t="s">
        <v>36</v>
      </c>
      <c r="C42" s="5">
        <v>200</v>
      </c>
      <c r="D42">
        <v>100</v>
      </c>
      <c r="E42" s="6">
        <f>C42*D42/100</f>
        <v>200</v>
      </c>
    </row>
    <row r="43" spans="1:5" x14ac:dyDescent="0.2">
      <c r="B43" t="s">
        <v>37</v>
      </c>
      <c r="C43" s="5">
        <v>800</v>
      </c>
      <c r="D43">
        <v>100</v>
      </c>
      <c r="E43" s="6">
        <f>C43*D43/100</f>
        <v>800</v>
      </c>
    </row>
    <row r="44" spans="1:5" x14ac:dyDescent="0.2">
      <c r="B44" t="s">
        <v>38</v>
      </c>
      <c r="C44" s="5">
        <v>600</v>
      </c>
      <c r="D44">
        <v>100</v>
      </c>
      <c r="E44" s="6">
        <f t="shared" ref="E44" si="5">C44*D44/100</f>
        <v>600</v>
      </c>
    </row>
    <row r="45" spans="1:5" x14ac:dyDescent="0.2">
      <c r="B45" t="s">
        <v>39</v>
      </c>
      <c r="C45" s="5">
        <v>4500</v>
      </c>
      <c r="D45">
        <v>100</v>
      </c>
      <c r="E45" s="6">
        <f>C45*D45/100</f>
        <v>4500</v>
      </c>
    </row>
    <row r="46" spans="1:5" x14ac:dyDescent="0.2">
      <c r="B46" t="s">
        <v>40</v>
      </c>
      <c r="C46" s="5">
        <v>3000</v>
      </c>
      <c r="D46">
        <v>100</v>
      </c>
      <c r="E46" s="6">
        <f>C46*D46/100</f>
        <v>3000</v>
      </c>
    </row>
    <row r="47" spans="1:5" x14ac:dyDescent="0.2">
      <c r="B47" t="s">
        <v>41</v>
      </c>
      <c r="C47" s="5">
        <v>300</v>
      </c>
      <c r="D47">
        <v>100</v>
      </c>
      <c r="E47" s="6">
        <f>C47*D47/100</f>
        <v>300</v>
      </c>
    </row>
    <row r="49" spans="1:5" x14ac:dyDescent="0.2">
      <c r="A49" t="s">
        <v>42</v>
      </c>
      <c r="B49" t="s">
        <v>43</v>
      </c>
      <c r="C49" s="5">
        <v>1500</v>
      </c>
      <c r="D49">
        <v>100</v>
      </c>
      <c r="E49" s="6">
        <f>C49*D49/100</f>
        <v>1500</v>
      </c>
    </row>
    <row r="50" spans="1:5" x14ac:dyDescent="0.2">
      <c r="B50" t="s">
        <v>44</v>
      </c>
      <c r="C50" s="5">
        <v>1500</v>
      </c>
      <c r="D50">
        <v>100</v>
      </c>
      <c r="E50" s="6">
        <f t="shared" ref="E50" si="6">C50*D50/100</f>
        <v>1500</v>
      </c>
    </row>
    <row r="51" spans="1:5" x14ac:dyDescent="0.2">
      <c r="B51" t="s">
        <v>45</v>
      </c>
      <c r="C51" s="5">
        <v>1600</v>
      </c>
      <c r="D51">
        <v>100</v>
      </c>
      <c r="E51" s="6">
        <f>C51*D51/100</f>
        <v>1600</v>
      </c>
    </row>
    <row r="52" spans="1:5" x14ac:dyDescent="0.2">
      <c r="B52" t="s">
        <v>46</v>
      </c>
      <c r="C52" s="5">
        <v>600</v>
      </c>
      <c r="D52">
        <v>100</v>
      </c>
      <c r="E52" s="6">
        <f>C52*D52/100</f>
        <v>600</v>
      </c>
    </row>
    <row r="53" spans="1:5" x14ac:dyDescent="0.2">
      <c r="B53" t="s">
        <v>47</v>
      </c>
      <c r="C53" s="5">
        <v>300</v>
      </c>
      <c r="D53">
        <v>100</v>
      </c>
      <c r="E53" s="6">
        <f>C53*D53/100</f>
        <v>300</v>
      </c>
    </row>
    <row r="55" spans="1:5" x14ac:dyDescent="0.2">
      <c r="A55" t="s">
        <v>48</v>
      </c>
      <c r="B55" t="s">
        <v>49</v>
      </c>
      <c r="C55" s="5">
        <v>600</v>
      </c>
      <c r="D55">
        <v>100</v>
      </c>
      <c r="E55" s="6">
        <f>C55*D55/100</f>
        <v>600</v>
      </c>
    </row>
    <row r="56" spans="1:5" x14ac:dyDescent="0.2">
      <c r="B56" t="s">
        <v>50</v>
      </c>
      <c r="C56" s="5">
        <v>1400</v>
      </c>
      <c r="D56">
        <v>100</v>
      </c>
      <c r="E56" s="6">
        <f t="shared" ref="E56:E57" si="7">C56*D56/100</f>
        <v>1400</v>
      </c>
    </row>
    <row r="57" spans="1:5" x14ac:dyDescent="0.2">
      <c r="B57" t="s">
        <v>51</v>
      </c>
      <c r="C57" s="5">
        <v>800</v>
      </c>
      <c r="D57">
        <v>100</v>
      </c>
      <c r="E57" s="6">
        <f t="shared" si="7"/>
        <v>800</v>
      </c>
    </row>
    <row r="58" spans="1:5" x14ac:dyDescent="0.2">
      <c r="B58" t="s">
        <v>52</v>
      </c>
      <c r="C58" s="5">
        <v>1500</v>
      </c>
      <c r="D58">
        <v>100</v>
      </c>
      <c r="E58" s="6">
        <f>C58*D58/100</f>
        <v>1500</v>
      </c>
    </row>
    <row r="59" spans="1:5" x14ac:dyDescent="0.2">
      <c r="B59" t="s">
        <v>53</v>
      </c>
      <c r="C59" s="5">
        <v>200</v>
      </c>
      <c r="D59">
        <v>100</v>
      </c>
      <c r="E59" s="6">
        <f>C59*D59/100</f>
        <v>200</v>
      </c>
    </row>
    <row r="60" spans="1:5" x14ac:dyDescent="0.2">
      <c r="B60" t="s">
        <v>54</v>
      </c>
      <c r="C60" s="5">
        <v>1800</v>
      </c>
      <c r="D60">
        <v>100</v>
      </c>
      <c r="E60" s="6">
        <f>C60*D60/100</f>
        <v>1800</v>
      </c>
    </row>
    <row r="61" spans="1:5" x14ac:dyDescent="0.2">
      <c r="B61" t="s">
        <v>55</v>
      </c>
      <c r="C61" s="5">
        <v>400</v>
      </c>
      <c r="D61">
        <v>100</v>
      </c>
      <c r="E61" s="6">
        <f t="shared" ref="E61" si="8">C61*D61/100</f>
        <v>400</v>
      </c>
    </row>
    <row r="62" spans="1:5" x14ac:dyDescent="0.2">
      <c r="B62" t="s">
        <v>56</v>
      </c>
      <c r="C62" s="5">
        <v>600</v>
      </c>
      <c r="D62">
        <v>100</v>
      </c>
      <c r="E62" s="6">
        <f>C62*D62/100</f>
        <v>600</v>
      </c>
    </row>
    <row r="63" spans="1:5" x14ac:dyDescent="0.2">
      <c r="B63" t="s">
        <v>57</v>
      </c>
      <c r="C63" s="5">
        <v>300</v>
      </c>
      <c r="D63">
        <v>100</v>
      </c>
      <c r="E63" s="6">
        <f>C63*D63/100</f>
        <v>300</v>
      </c>
    </row>
    <row r="64" spans="1:5" x14ac:dyDescent="0.2">
      <c r="B64" t="s">
        <v>58</v>
      </c>
      <c r="C64" s="5">
        <v>1500</v>
      </c>
      <c r="D64">
        <v>100</v>
      </c>
      <c r="E64" s="6">
        <f>C64*D64/100</f>
        <v>1500</v>
      </c>
    </row>
    <row r="65" spans="1:6" x14ac:dyDescent="0.2">
      <c r="B65" t="s">
        <v>59</v>
      </c>
      <c r="C65" s="5">
        <v>100</v>
      </c>
      <c r="D65">
        <v>100</v>
      </c>
      <c r="E65" s="6">
        <f>C65*D65/100</f>
        <v>100</v>
      </c>
    </row>
    <row r="67" spans="1:6" x14ac:dyDescent="0.2">
      <c r="A67" t="s">
        <v>62</v>
      </c>
      <c r="B67" t="s">
        <v>60</v>
      </c>
      <c r="C67" s="5">
        <v>4000</v>
      </c>
      <c r="D67">
        <v>100</v>
      </c>
      <c r="E67" s="6">
        <f>C67*D67/100</f>
        <v>4000</v>
      </c>
    </row>
    <row r="68" spans="1:6" x14ac:dyDescent="0.2">
      <c r="B68" t="s">
        <v>61</v>
      </c>
      <c r="C68" s="5">
        <v>800</v>
      </c>
      <c r="D68">
        <v>100</v>
      </c>
      <c r="E68" s="6">
        <f>C68*D68/100</f>
        <v>800</v>
      </c>
    </row>
    <row r="70" spans="1:6" ht="27" x14ac:dyDescent="0.35">
      <c r="F70" s="7">
        <f>SUM(E30:E68)</f>
        <v>65600</v>
      </c>
    </row>
    <row r="73" spans="1:6" ht="27" x14ac:dyDescent="0.35">
      <c r="A73" s="3" t="s">
        <v>27</v>
      </c>
      <c r="B73" s="8" t="s">
        <v>1</v>
      </c>
      <c r="C73" s="8" t="s">
        <v>11</v>
      </c>
      <c r="D73" s="8" t="s">
        <v>8</v>
      </c>
      <c r="E73" s="9" t="s">
        <v>10</v>
      </c>
      <c r="F73" s="8" t="s">
        <v>9</v>
      </c>
    </row>
    <row r="74" spans="1:6" x14ac:dyDescent="0.2">
      <c r="B74" t="s">
        <v>64</v>
      </c>
      <c r="C74" s="5">
        <v>1200</v>
      </c>
      <c r="D74">
        <v>100</v>
      </c>
      <c r="E74" s="6">
        <f>C74*D74/100</f>
        <v>1200</v>
      </c>
    </row>
    <row r="75" spans="1:6" x14ac:dyDescent="0.2">
      <c r="B75" t="s">
        <v>65</v>
      </c>
      <c r="C75" s="5">
        <v>15000</v>
      </c>
      <c r="D75">
        <v>100</v>
      </c>
      <c r="E75" s="6">
        <f t="shared" ref="E75:E76" si="9">C75*D75/100</f>
        <v>15000</v>
      </c>
    </row>
    <row r="76" spans="1:6" x14ac:dyDescent="0.2">
      <c r="B76" t="s">
        <v>66</v>
      </c>
      <c r="C76" s="5">
        <v>5000</v>
      </c>
      <c r="D76">
        <v>100</v>
      </c>
      <c r="E76" s="6">
        <f t="shared" si="9"/>
        <v>5000</v>
      </c>
    </row>
    <row r="77" spans="1:6" x14ac:dyDescent="0.2">
      <c r="B77" t="s">
        <v>67</v>
      </c>
      <c r="C77" s="5">
        <v>100</v>
      </c>
      <c r="D77">
        <v>100</v>
      </c>
      <c r="E77" s="6">
        <f>C77*D77/100</f>
        <v>100</v>
      </c>
    </row>
    <row r="78" spans="1:6" x14ac:dyDescent="0.2">
      <c r="B78" t="s">
        <v>68</v>
      </c>
      <c r="C78" s="5">
        <v>1000</v>
      </c>
      <c r="D78">
        <v>100</v>
      </c>
      <c r="E78" s="6">
        <f t="shared" ref="E78:E80" si="10">C78*D78/100</f>
        <v>1000</v>
      </c>
    </row>
    <row r="79" spans="1:6" x14ac:dyDescent="0.2">
      <c r="B79" t="s">
        <v>69</v>
      </c>
      <c r="C79" s="5">
        <v>300</v>
      </c>
      <c r="D79">
        <v>100</v>
      </c>
      <c r="E79" s="6">
        <f t="shared" si="10"/>
        <v>300</v>
      </c>
    </row>
    <row r="80" spans="1:6" x14ac:dyDescent="0.2">
      <c r="B80" t="s">
        <v>85</v>
      </c>
      <c r="C80" s="5">
        <v>300</v>
      </c>
      <c r="D80">
        <v>100</v>
      </c>
      <c r="E80" s="6">
        <f t="shared" si="10"/>
        <v>300</v>
      </c>
    </row>
    <row r="81" spans="2:5" x14ac:dyDescent="0.2">
      <c r="B81" t="s">
        <v>70</v>
      </c>
      <c r="C81" s="5">
        <v>400</v>
      </c>
      <c r="D81">
        <v>100</v>
      </c>
      <c r="E81" s="6">
        <f>C81*D81/100</f>
        <v>400</v>
      </c>
    </row>
    <row r="82" spans="2:5" x14ac:dyDescent="0.2">
      <c r="B82" t="s">
        <v>71</v>
      </c>
      <c r="C82" s="5">
        <v>500</v>
      </c>
      <c r="D82">
        <v>100</v>
      </c>
      <c r="E82" s="6">
        <f t="shared" ref="E82:E84" si="11">C82*D82/100</f>
        <v>500</v>
      </c>
    </row>
    <row r="83" spans="2:5" x14ac:dyDescent="0.2">
      <c r="B83" t="s">
        <v>72</v>
      </c>
      <c r="C83" s="5">
        <v>600</v>
      </c>
      <c r="D83">
        <v>100</v>
      </c>
      <c r="E83" s="6">
        <f t="shared" si="11"/>
        <v>600</v>
      </c>
    </row>
    <row r="84" spans="2:5" x14ac:dyDescent="0.2">
      <c r="B84" t="s">
        <v>73</v>
      </c>
      <c r="C84" s="5">
        <v>400</v>
      </c>
      <c r="D84">
        <v>100</v>
      </c>
      <c r="E84" s="6">
        <f t="shared" si="11"/>
        <v>400</v>
      </c>
    </row>
    <row r="85" spans="2:5" x14ac:dyDescent="0.2">
      <c r="B85" t="s">
        <v>74</v>
      </c>
      <c r="C85" s="5">
        <v>200</v>
      </c>
      <c r="D85">
        <v>100</v>
      </c>
      <c r="E85" s="6">
        <f>C85*D85/100</f>
        <v>200</v>
      </c>
    </row>
    <row r="86" spans="2:5" x14ac:dyDescent="0.2">
      <c r="B86" t="s">
        <v>75</v>
      </c>
      <c r="C86" s="5">
        <v>1000</v>
      </c>
      <c r="D86">
        <v>100</v>
      </c>
      <c r="E86" s="6">
        <f t="shared" ref="E86:E89" si="12">C86*D86/100</f>
        <v>1000</v>
      </c>
    </row>
    <row r="87" spans="2:5" x14ac:dyDescent="0.2">
      <c r="B87" t="s">
        <v>76</v>
      </c>
      <c r="C87" s="5">
        <v>800</v>
      </c>
      <c r="D87">
        <v>100</v>
      </c>
      <c r="E87" s="6">
        <f t="shared" si="12"/>
        <v>800</v>
      </c>
    </row>
    <row r="88" spans="2:5" x14ac:dyDescent="0.2">
      <c r="B88" t="s">
        <v>77</v>
      </c>
      <c r="C88" s="5">
        <v>2000</v>
      </c>
      <c r="D88">
        <v>100</v>
      </c>
      <c r="E88" s="6">
        <f t="shared" si="12"/>
        <v>2000</v>
      </c>
    </row>
    <row r="89" spans="2:5" x14ac:dyDescent="0.2">
      <c r="B89" t="s">
        <v>78</v>
      </c>
      <c r="C89" s="5">
        <v>800</v>
      </c>
      <c r="D89">
        <v>100</v>
      </c>
      <c r="E89" s="6">
        <f t="shared" si="12"/>
        <v>800</v>
      </c>
    </row>
    <row r="90" spans="2:5" x14ac:dyDescent="0.2">
      <c r="B90" t="s">
        <v>79</v>
      </c>
      <c r="C90" s="5">
        <v>400</v>
      </c>
      <c r="D90">
        <v>100</v>
      </c>
      <c r="E90" s="6">
        <f>C90*D90/100</f>
        <v>400</v>
      </c>
    </row>
    <row r="91" spans="2:5" x14ac:dyDescent="0.2">
      <c r="B91" t="s">
        <v>86</v>
      </c>
      <c r="C91" s="5">
        <v>400</v>
      </c>
      <c r="D91">
        <v>100</v>
      </c>
      <c r="E91" s="6">
        <f t="shared" ref="E91:E93" si="13">C91*D91/100</f>
        <v>400</v>
      </c>
    </row>
    <row r="92" spans="2:5" x14ac:dyDescent="0.2">
      <c r="B92" t="s">
        <v>87</v>
      </c>
      <c r="C92" s="5">
        <v>800</v>
      </c>
      <c r="D92">
        <v>100</v>
      </c>
      <c r="E92" s="6">
        <f t="shared" si="13"/>
        <v>800</v>
      </c>
    </row>
    <row r="93" spans="2:5" x14ac:dyDescent="0.2">
      <c r="B93" t="s">
        <v>80</v>
      </c>
      <c r="C93" s="5">
        <v>400</v>
      </c>
      <c r="D93">
        <v>100</v>
      </c>
      <c r="E93" s="6">
        <f t="shared" si="13"/>
        <v>400</v>
      </c>
    </row>
    <row r="94" spans="2:5" x14ac:dyDescent="0.2">
      <c r="B94" t="s">
        <v>81</v>
      </c>
      <c r="C94" s="5">
        <v>200</v>
      </c>
      <c r="D94">
        <v>100</v>
      </c>
      <c r="E94" s="6">
        <f>C94*D94/100</f>
        <v>200</v>
      </c>
    </row>
    <row r="95" spans="2:5" x14ac:dyDescent="0.2">
      <c r="B95" t="s">
        <v>82</v>
      </c>
      <c r="C95" s="5">
        <v>400</v>
      </c>
      <c r="D95">
        <v>100</v>
      </c>
      <c r="E95" s="6">
        <f t="shared" ref="E95:E96" si="14">C95*D95/100</f>
        <v>400</v>
      </c>
    </row>
    <row r="96" spans="2:5" x14ac:dyDescent="0.2">
      <c r="B96" t="s">
        <v>83</v>
      </c>
      <c r="C96" s="5">
        <v>200</v>
      </c>
      <c r="D96">
        <v>100</v>
      </c>
      <c r="E96" s="6">
        <f t="shared" si="14"/>
        <v>200</v>
      </c>
    </row>
    <row r="97" spans="1:6" x14ac:dyDescent="0.2">
      <c r="B97" t="s">
        <v>84</v>
      </c>
      <c r="C97" s="5">
        <v>1200</v>
      </c>
      <c r="D97">
        <v>100</v>
      </c>
      <c r="E97" s="6">
        <f t="shared" ref="E97" si="15">C97*D97/100</f>
        <v>1200</v>
      </c>
    </row>
    <row r="99" spans="1:6" ht="27" x14ac:dyDescent="0.35">
      <c r="F99" s="7">
        <f>SUM(E74:E97)</f>
        <v>33600</v>
      </c>
    </row>
    <row r="103" spans="1:6" ht="27" x14ac:dyDescent="0.35">
      <c r="A103" s="3" t="s">
        <v>28</v>
      </c>
      <c r="B103" s="8" t="s">
        <v>1</v>
      </c>
      <c r="C103" s="8" t="s">
        <v>11</v>
      </c>
      <c r="D103" s="8" t="s">
        <v>8</v>
      </c>
      <c r="E103" s="9" t="s">
        <v>10</v>
      </c>
      <c r="F103" s="8" t="s">
        <v>9</v>
      </c>
    </row>
    <row r="104" spans="1:6" x14ac:dyDescent="0.2">
      <c r="B104" t="s">
        <v>28</v>
      </c>
      <c r="C104" s="5">
        <v>350000</v>
      </c>
      <c r="D104">
        <v>100</v>
      </c>
      <c r="E104" s="6">
        <f>C104*D104/100</f>
        <v>350000</v>
      </c>
    </row>
    <row r="105" spans="1:6" x14ac:dyDescent="0.2">
      <c r="B105" t="s">
        <v>15</v>
      </c>
      <c r="C105" s="5">
        <v>30000</v>
      </c>
      <c r="D105">
        <v>100</v>
      </c>
      <c r="E105" s="6">
        <f t="shared" ref="E105:E106" si="16">C105*D105/100</f>
        <v>30000</v>
      </c>
    </row>
    <row r="106" spans="1:6" x14ac:dyDescent="0.2">
      <c r="B106" t="s">
        <v>88</v>
      </c>
      <c r="C106" s="5">
        <v>10000</v>
      </c>
      <c r="D106">
        <v>100</v>
      </c>
      <c r="E106" s="6">
        <f t="shared" si="16"/>
        <v>10000</v>
      </c>
    </row>
    <row r="107" spans="1:6" x14ac:dyDescent="0.2">
      <c r="B107" t="s">
        <v>89</v>
      </c>
      <c r="C107" s="5">
        <v>8000</v>
      </c>
      <c r="D107">
        <v>100</v>
      </c>
      <c r="E107" s="6">
        <f>C107*D107/100</f>
        <v>8000</v>
      </c>
    </row>
    <row r="108" spans="1:6" x14ac:dyDescent="0.2">
      <c r="B108" t="s">
        <v>90</v>
      </c>
      <c r="C108" s="5">
        <v>8000</v>
      </c>
      <c r="D108">
        <v>100</v>
      </c>
      <c r="E108" s="6">
        <f t="shared" ref="E108:E109" si="17">C108*D108/100</f>
        <v>8000</v>
      </c>
    </row>
    <row r="109" spans="1:6" x14ac:dyDescent="0.2">
      <c r="B109" t="s">
        <v>91</v>
      </c>
      <c r="C109" s="5">
        <v>8000</v>
      </c>
      <c r="D109">
        <v>100</v>
      </c>
      <c r="E109" s="6">
        <f t="shared" si="17"/>
        <v>8000</v>
      </c>
    </row>
    <row r="110" spans="1:6" x14ac:dyDescent="0.2">
      <c r="C110" s="5"/>
      <c r="E110" s="6"/>
    </row>
    <row r="112" spans="1:6" ht="27" x14ac:dyDescent="0.35">
      <c r="F112" s="7">
        <f>SUM(E104:E110)</f>
        <v>414000</v>
      </c>
    </row>
    <row r="120" spans="1:6" ht="27" x14ac:dyDescent="0.35">
      <c r="A120" s="3" t="s">
        <v>29</v>
      </c>
      <c r="B120" s="8" t="s">
        <v>1</v>
      </c>
      <c r="C120" s="9" t="s">
        <v>11</v>
      </c>
      <c r="D120" s="8"/>
      <c r="E120" s="9"/>
      <c r="F120" s="8" t="s">
        <v>9</v>
      </c>
    </row>
    <row r="121" spans="1:6" x14ac:dyDescent="0.2">
      <c r="B121" t="s">
        <v>4</v>
      </c>
      <c r="C121" s="13">
        <f>F15</f>
        <v>218000</v>
      </c>
    </row>
    <row r="122" spans="1:6" x14ac:dyDescent="0.2">
      <c r="B122" t="s">
        <v>26</v>
      </c>
      <c r="C122" s="13">
        <f>F25</f>
        <v>57500</v>
      </c>
    </row>
    <row r="123" spans="1:6" x14ac:dyDescent="0.2">
      <c r="B123" t="s">
        <v>18</v>
      </c>
      <c r="C123" s="13">
        <f>F70</f>
        <v>65600</v>
      </c>
    </row>
    <row r="124" spans="1:6" x14ac:dyDescent="0.2">
      <c r="B124" t="s">
        <v>27</v>
      </c>
      <c r="C124" s="13">
        <f>F99</f>
        <v>33600</v>
      </c>
    </row>
    <row r="125" spans="1:6" x14ac:dyDescent="0.2">
      <c r="B125" t="s">
        <v>28</v>
      </c>
      <c r="C125" s="13">
        <f>F112</f>
        <v>414000</v>
      </c>
    </row>
    <row r="126" spans="1:6" ht="29" x14ac:dyDescent="0.35">
      <c r="F126" s="10">
        <f>SUM(C121:C125)</f>
        <v>788700</v>
      </c>
    </row>
    <row r="130" spans="1:6" ht="27" x14ac:dyDescent="0.35">
      <c r="A130" s="3" t="s">
        <v>92</v>
      </c>
      <c r="B130" s="8" t="s">
        <v>1</v>
      </c>
      <c r="C130" s="8" t="s">
        <v>11</v>
      </c>
      <c r="D130" s="8"/>
      <c r="E130" s="9"/>
      <c r="F130" s="8" t="s">
        <v>9</v>
      </c>
    </row>
    <row r="131" spans="1:6" x14ac:dyDescent="0.2">
      <c r="B131" t="s">
        <v>29</v>
      </c>
      <c r="C131" s="4">
        <f>F126</f>
        <v>788700</v>
      </c>
    </row>
    <row r="132" spans="1:6" x14ac:dyDescent="0.2">
      <c r="B132" t="s">
        <v>93</v>
      </c>
      <c r="C132" s="5">
        <v>350000</v>
      </c>
    </row>
    <row r="133" spans="1:6" ht="29" x14ac:dyDescent="0.35">
      <c r="F133" s="11">
        <f>C131-C132</f>
        <v>438700</v>
      </c>
    </row>
  </sheetData>
  <conditionalFormatting sqref="D8:D14 D30:D47 D49:D53 D55:D65 D67:D68">
    <cfRule type="cellIs" dxfId="28" priority="9" operator="lessThan">
      <formula>100</formula>
    </cfRule>
    <cfRule type="cellIs" dxfId="27" priority="10" operator="equal">
      <formula>100</formula>
    </cfRule>
  </conditionalFormatting>
  <conditionalFormatting sqref="D20:D24">
    <cfRule type="cellIs" dxfId="26" priority="7" operator="lessThan">
      <formula>100</formula>
    </cfRule>
    <cfRule type="cellIs" dxfId="25" priority="8" operator="equal">
      <formula>100</formula>
    </cfRule>
  </conditionalFormatting>
  <conditionalFormatting sqref="D74:D97">
    <cfRule type="cellIs" dxfId="24" priority="3" operator="lessThan">
      <formula>100</formula>
    </cfRule>
    <cfRule type="cellIs" dxfId="23" priority="4" operator="equal">
      <formula>100</formula>
    </cfRule>
  </conditionalFormatting>
  <conditionalFormatting sqref="D104:D110">
    <cfRule type="cellIs" dxfId="22" priority="1" operator="lessThan">
      <formula>100</formula>
    </cfRule>
    <cfRule type="cellIs" dxfId="21" priority="2" operator="equal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BBCC-97B9-3C42-BC2F-C5CA54315F6C}">
  <dimension ref="A1:F133"/>
  <sheetViews>
    <sheetView workbookViewId="0">
      <selection activeCell="B3" sqref="B3"/>
    </sheetView>
  </sheetViews>
  <sheetFormatPr baseColWidth="10" defaultRowHeight="16" x14ac:dyDescent="0.2"/>
  <cols>
    <col min="1" max="1" width="53.6640625" customWidth="1"/>
    <col min="2" max="2" width="37" customWidth="1"/>
    <col min="6" max="6" width="26.1640625" customWidth="1"/>
  </cols>
  <sheetData>
    <row r="1" spans="1:6" ht="21" x14ac:dyDescent="0.25">
      <c r="A1" s="1" t="s">
        <v>0</v>
      </c>
    </row>
    <row r="3" spans="1:6" x14ac:dyDescent="0.2">
      <c r="B3" t="s">
        <v>119</v>
      </c>
      <c r="C3" s="5">
        <v>6.5</v>
      </c>
    </row>
    <row r="7" spans="1:6" ht="27" x14ac:dyDescent="0.35">
      <c r="A7" s="3" t="s">
        <v>4</v>
      </c>
      <c r="B7" s="8" t="s">
        <v>1</v>
      </c>
      <c r="C7" s="8" t="s">
        <v>11</v>
      </c>
      <c r="D7" s="8" t="s">
        <v>8</v>
      </c>
      <c r="E7" s="9" t="s">
        <v>10</v>
      </c>
      <c r="F7" s="8" t="s">
        <v>9</v>
      </c>
    </row>
    <row r="8" spans="1:6" x14ac:dyDescent="0.2">
      <c r="B8" t="s">
        <v>2</v>
      </c>
      <c r="C8" s="5">
        <v>0</v>
      </c>
      <c r="D8">
        <v>0</v>
      </c>
      <c r="E8" s="6">
        <f>C8*D8/100</f>
        <v>0</v>
      </c>
    </row>
    <row r="9" spans="1:6" x14ac:dyDescent="0.2">
      <c r="B9" t="s">
        <v>3</v>
      </c>
      <c r="C9" s="4">
        <f>C8*C3/100</f>
        <v>0</v>
      </c>
      <c r="D9">
        <v>0</v>
      </c>
      <c r="E9" s="6">
        <f t="shared" ref="E9:E13" si="0">C9*D9/100</f>
        <v>0</v>
      </c>
    </row>
    <row r="10" spans="1:6" x14ac:dyDescent="0.2">
      <c r="B10" t="s">
        <v>5</v>
      </c>
      <c r="C10" s="5">
        <v>0</v>
      </c>
      <c r="D10">
        <v>0</v>
      </c>
      <c r="E10" s="6">
        <f t="shared" si="0"/>
        <v>0</v>
      </c>
    </row>
    <row r="11" spans="1:6" x14ac:dyDescent="0.2">
      <c r="B11" t="s">
        <v>6</v>
      </c>
      <c r="C11" s="5">
        <v>0</v>
      </c>
      <c r="D11">
        <v>0</v>
      </c>
      <c r="E11" s="6">
        <f t="shared" si="0"/>
        <v>0</v>
      </c>
    </row>
    <row r="12" spans="1:6" x14ac:dyDescent="0.2">
      <c r="B12" t="s">
        <v>7</v>
      </c>
      <c r="C12" s="5">
        <v>0</v>
      </c>
      <c r="D12">
        <v>0</v>
      </c>
      <c r="E12" s="6">
        <f t="shared" si="0"/>
        <v>0</v>
      </c>
    </row>
    <row r="13" spans="1:6" x14ac:dyDescent="0.2">
      <c r="B13" t="s">
        <v>12</v>
      </c>
      <c r="C13" s="5">
        <v>0</v>
      </c>
      <c r="D13">
        <v>0</v>
      </c>
      <c r="E13" s="6">
        <f t="shared" si="0"/>
        <v>0</v>
      </c>
    </row>
    <row r="14" spans="1:6" x14ac:dyDescent="0.2">
      <c r="C14" s="5"/>
      <c r="E14" s="6"/>
    </row>
    <row r="15" spans="1:6" ht="27" x14ac:dyDescent="0.35">
      <c r="F15" s="7">
        <f>SUM(E8:E14)</f>
        <v>0</v>
      </c>
    </row>
    <row r="19" spans="1:6" ht="27" x14ac:dyDescent="0.35">
      <c r="A19" s="3" t="s">
        <v>13</v>
      </c>
      <c r="B19" s="8" t="s">
        <v>1</v>
      </c>
      <c r="C19" s="8" t="s">
        <v>11</v>
      </c>
      <c r="D19" s="8" t="s">
        <v>8</v>
      </c>
      <c r="E19" s="9" t="s">
        <v>10</v>
      </c>
      <c r="F19" s="8" t="s">
        <v>9</v>
      </c>
    </row>
    <row r="20" spans="1:6" x14ac:dyDescent="0.2">
      <c r="B20" t="s">
        <v>14</v>
      </c>
      <c r="C20" s="5">
        <v>0</v>
      </c>
      <c r="D20">
        <v>0</v>
      </c>
      <c r="E20" s="6">
        <f>C20*D20/100</f>
        <v>0</v>
      </c>
    </row>
    <row r="21" spans="1:6" x14ac:dyDescent="0.2">
      <c r="B21" t="s">
        <v>15</v>
      </c>
      <c r="C21" s="5">
        <v>0</v>
      </c>
      <c r="D21">
        <v>0</v>
      </c>
      <c r="E21" s="6">
        <f t="shared" ref="E21:E24" si="1">C21*D21/100</f>
        <v>0</v>
      </c>
    </row>
    <row r="22" spans="1:6" x14ac:dyDescent="0.2">
      <c r="B22" t="s">
        <v>16</v>
      </c>
      <c r="C22" s="5">
        <v>0</v>
      </c>
      <c r="D22">
        <v>0</v>
      </c>
      <c r="E22" s="6">
        <f t="shared" si="1"/>
        <v>0</v>
      </c>
    </row>
    <row r="23" spans="1:6" x14ac:dyDescent="0.2">
      <c r="B23" t="s">
        <v>17</v>
      </c>
      <c r="C23" s="5">
        <v>0</v>
      </c>
      <c r="D23">
        <v>0</v>
      </c>
      <c r="E23" s="6">
        <f t="shared" si="1"/>
        <v>0</v>
      </c>
    </row>
    <row r="24" spans="1:6" x14ac:dyDescent="0.2">
      <c r="C24" s="5"/>
      <c r="E24" s="6">
        <f t="shared" si="1"/>
        <v>0</v>
      </c>
    </row>
    <row r="25" spans="1:6" ht="27" x14ac:dyDescent="0.35">
      <c r="F25" s="7">
        <f>SUM(E20:E24)</f>
        <v>0</v>
      </c>
    </row>
    <row r="29" spans="1:6" ht="27" x14ac:dyDescent="0.35">
      <c r="A29" s="3" t="s">
        <v>18</v>
      </c>
      <c r="B29" s="8" t="s">
        <v>1</v>
      </c>
      <c r="C29" s="8" t="s">
        <v>11</v>
      </c>
      <c r="D29" s="8" t="s">
        <v>8</v>
      </c>
      <c r="E29" s="9" t="s">
        <v>10</v>
      </c>
      <c r="F29" s="8" t="s">
        <v>9</v>
      </c>
    </row>
    <row r="30" spans="1:6" x14ac:dyDescent="0.2">
      <c r="A30" t="s">
        <v>63</v>
      </c>
      <c r="B30" t="s">
        <v>19</v>
      </c>
      <c r="C30" s="5">
        <v>0</v>
      </c>
      <c r="D30">
        <v>0</v>
      </c>
      <c r="E30" s="6">
        <f>C30*D30/100</f>
        <v>0</v>
      </c>
    </row>
    <row r="31" spans="1:6" x14ac:dyDescent="0.2">
      <c r="B31" t="s">
        <v>20</v>
      </c>
      <c r="C31" s="5">
        <v>0</v>
      </c>
      <c r="D31">
        <v>0</v>
      </c>
      <c r="E31" s="6">
        <f t="shared" ref="E31:E33" si="2">C31*D31/100</f>
        <v>0</v>
      </c>
    </row>
    <row r="32" spans="1:6" x14ac:dyDescent="0.2">
      <c r="B32" t="s">
        <v>21</v>
      </c>
      <c r="C32" s="5">
        <v>0</v>
      </c>
      <c r="D32">
        <v>0</v>
      </c>
      <c r="E32" s="6">
        <f t="shared" si="2"/>
        <v>0</v>
      </c>
    </row>
    <row r="33" spans="1:5" x14ac:dyDescent="0.2">
      <c r="B33" t="s">
        <v>23</v>
      </c>
      <c r="C33" s="5">
        <v>0</v>
      </c>
      <c r="D33">
        <v>0</v>
      </c>
      <c r="E33" s="6">
        <f t="shared" si="2"/>
        <v>0</v>
      </c>
    </row>
    <row r="34" spans="1:5" x14ac:dyDescent="0.2">
      <c r="B34" t="s">
        <v>22</v>
      </c>
      <c r="C34" s="5">
        <v>0</v>
      </c>
      <c r="D34">
        <v>0</v>
      </c>
      <c r="E34" s="6">
        <f>C34*D34/100</f>
        <v>0</v>
      </c>
    </row>
    <row r="35" spans="1:5" x14ac:dyDescent="0.2">
      <c r="B35" t="s">
        <v>24</v>
      </c>
      <c r="C35" s="5">
        <v>0</v>
      </c>
      <c r="D35">
        <v>0</v>
      </c>
      <c r="E35" s="6">
        <f>C35*D35/100</f>
        <v>0</v>
      </c>
    </row>
    <row r="36" spans="1:5" x14ac:dyDescent="0.2">
      <c r="B36" t="s">
        <v>25</v>
      </c>
      <c r="C36" s="5">
        <v>0</v>
      </c>
      <c r="D36">
        <v>0</v>
      </c>
      <c r="E36" s="6">
        <f>C36*D36/100</f>
        <v>0</v>
      </c>
    </row>
    <row r="37" spans="1:5" x14ac:dyDescent="0.2">
      <c r="A37" t="s">
        <v>30</v>
      </c>
      <c r="B37" t="s">
        <v>31</v>
      </c>
      <c r="C37" s="5">
        <v>0</v>
      </c>
      <c r="D37">
        <v>0</v>
      </c>
      <c r="E37" s="6">
        <f>C37*D37/100</f>
        <v>0</v>
      </c>
    </row>
    <row r="38" spans="1:5" x14ac:dyDescent="0.2">
      <c r="B38" t="s">
        <v>32</v>
      </c>
      <c r="C38" s="5">
        <v>0</v>
      </c>
      <c r="D38">
        <v>0</v>
      </c>
      <c r="E38" s="6">
        <f t="shared" ref="E38:E40" si="3">C38*D38/100</f>
        <v>0</v>
      </c>
    </row>
    <row r="39" spans="1:5" x14ac:dyDescent="0.2">
      <c r="B39" t="s">
        <v>33</v>
      </c>
      <c r="C39" s="5">
        <v>0</v>
      </c>
      <c r="D39">
        <v>0</v>
      </c>
      <c r="E39" s="6">
        <f t="shared" si="3"/>
        <v>0</v>
      </c>
    </row>
    <row r="40" spans="1:5" x14ac:dyDescent="0.2">
      <c r="B40" t="s">
        <v>34</v>
      </c>
      <c r="C40" s="5">
        <v>0</v>
      </c>
      <c r="D40">
        <v>0</v>
      </c>
      <c r="E40" s="6">
        <f t="shared" si="3"/>
        <v>0</v>
      </c>
    </row>
    <row r="41" spans="1:5" x14ac:dyDescent="0.2">
      <c r="B41" t="s">
        <v>35</v>
      </c>
      <c r="C41" s="5">
        <v>0</v>
      </c>
      <c r="D41">
        <v>0</v>
      </c>
      <c r="E41" s="6">
        <f>C41*D41/100</f>
        <v>0</v>
      </c>
    </row>
    <row r="42" spans="1:5" x14ac:dyDescent="0.2">
      <c r="B42" t="s">
        <v>36</v>
      </c>
      <c r="C42" s="5">
        <v>0</v>
      </c>
      <c r="D42">
        <v>0</v>
      </c>
      <c r="E42" s="6">
        <f>C42*D42/100</f>
        <v>0</v>
      </c>
    </row>
    <row r="43" spans="1:5" x14ac:dyDescent="0.2">
      <c r="B43" t="s">
        <v>37</v>
      </c>
      <c r="C43" s="5">
        <v>0</v>
      </c>
      <c r="D43">
        <v>0</v>
      </c>
      <c r="E43" s="6">
        <f>C43*D43/100</f>
        <v>0</v>
      </c>
    </row>
    <row r="44" spans="1:5" x14ac:dyDescent="0.2">
      <c r="B44" t="s">
        <v>38</v>
      </c>
      <c r="C44" s="5">
        <v>0</v>
      </c>
      <c r="D44">
        <v>0</v>
      </c>
      <c r="E44" s="6">
        <f t="shared" ref="E44" si="4">C44*D44/100</f>
        <v>0</v>
      </c>
    </row>
    <row r="45" spans="1:5" x14ac:dyDescent="0.2">
      <c r="B45" t="s">
        <v>39</v>
      </c>
      <c r="C45" s="5">
        <v>0</v>
      </c>
      <c r="D45">
        <v>0</v>
      </c>
      <c r="E45" s="6">
        <f>C45*D45/100</f>
        <v>0</v>
      </c>
    </row>
    <row r="46" spans="1:5" x14ac:dyDescent="0.2">
      <c r="B46" t="s">
        <v>40</v>
      </c>
      <c r="C46" s="5">
        <v>0</v>
      </c>
      <c r="D46">
        <v>0</v>
      </c>
      <c r="E46" s="6">
        <f>C46*D46/100</f>
        <v>0</v>
      </c>
    </row>
    <row r="47" spans="1:5" x14ac:dyDescent="0.2">
      <c r="B47" t="s">
        <v>41</v>
      </c>
      <c r="C47" s="5">
        <v>0</v>
      </c>
      <c r="D47">
        <v>0</v>
      </c>
      <c r="E47" s="6">
        <f>C47*D47/100</f>
        <v>0</v>
      </c>
    </row>
    <row r="49" spans="1:5" x14ac:dyDescent="0.2">
      <c r="A49" t="s">
        <v>42</v>
      </c>
      <c r="B49" t="s">
        <v>43</v>
      </c>
      <c r="C49" s="5">
        <v>0</v>
      </c>
      <c r="D49">
        <v>0</v>
      </c>
      <c r="E49" s="6">
        <f>C49*D49/100</f>
        <v>0</v>
      </c>
    </row>
    <row r="50" spans="1:5" x14ac:dyDescent="0.2">
      <c r="B50" t="s">
        <v>44</v>
      </c>
      <c r="C50" s="5">
        <v>0</v>
      </c>
      <c r="D50">
        <v>0</v>
      </c>
      <c r="E50" s="6">
        <f t="shared" ref="E50" si="5">C50*D50/100</f>
        <v>0</v>
      </c>
    </row>
    <row r="51" spans="1:5" x14ac:dyDescent="0.2">
      <c r="B51" t="s">
        <v>45</v>
      </c>
      <c r="C51" s="5">
        <v>0</v>
      </c>
      <c r="D51">
        <v>0</v>
      </c>
      <c r="E51" s="6">
        <f>C51*D51/100</f>
        <v>0</v>
      </c>
    </row>
    <row r="52" spans="1:5" x14ac:dyDescent="0.2">
      <c r="B52" t="s">
        <v>46</v>
      </c>
      <c r="C52" s="5">
        <v>0</v>
      </c>
      <c r="D52">
        <v>0</v>
      </c>
      <c r="E52" s="6">
        <f>C52*D52/100</f>
        <v>0</v>
      </c>
    </row>
    <row r="53" spans="1:5" x14ac:dyDescent="0.2">
      <c r="B53" t="s">
        <v>47</v>
      </c>
      <c r="C53" s="5">
        <v>0</v>
      </c>
      <c r="D53">
        <v>0</v>
      </c>
      <c r="E53" s="6">
        <f>C53*D53/100</f>
        <v>0</v>
      </c>
    </row>
    <row r="55" spans="1:5" x14ac:dyDescent="0.2">
      <c r="A55" t="s">
        <v>48</v>
      </c>
      <c r="B55" t="s">
        <v>49</v>
      </c>
      <c r="C55" s="5">
        <v>0</v>
      </c>
      <c r="D55">
        <v>0</v>
      </c>
      <c r="E55" s="6">
        <f>C55*D55/100</f>
        <v>0</v>
      </c>
    </row>
    <row r="56" spans="1:5" x14ac:dyDescent="0.2">
      <c r="B56" t="s">
        <v>50</v>
      </c>
      <c r="C56" s="5">
        <v>0</v>
      </c>
      <c r="D56">
        <v>0</v>
      </c>
      <c r="E56" s="6">
        <f t="shared" ref="E56:E57" si="6">C56*D56/100</f>
        <v>0</v>
      </c>
    </row>
    <row r="57" spans="1:5" x14ac:dyDescent="0.2">
      <c r="B57" t="s">
        <v>51</v>
      </c>
      <c r="C57" s="5">
        <v>0</v>
      </c>
      <c r="D57">
        <v>0</v>
      </c>
      <c r="E57" s="6">
        <f t="shared" si="6"/>
        <v>0</v>
      </c>
    </row>
    <row r="58" spans="1:5" x14ac:dyDescent="0.2">
      <c r="B58" t="s">
        <v>52</v>
      </c>
      <c r="C58" s="5">
        <v>0</v>
      </c>
      <c r="D58">
        <v>0</v>
      </c>
      <c r="E58" s="6">
        <f>C58*D58/100</f>
        <v>0</v>
      </c>
    </row>
    <row r="59" spans="1:5" x14ac:dyDescent="0.2">
      <c r="B59" t="s">
        <v>53</v>
      </c>
      <c r="C59" s="5">
        <v>0</v>
      </c>
      <c r="D59">
        <v>0</v>
      </c>
      <c r="E59" s="6">
        <f>C59*D59/100</f>
        <v>0</v>
      </c>
    </row>
    <row r="60" spans="1:5" x14ac:dyDescent="0.2">
      <c r="B60" t="s">
        <v>54</v>
      </c>
      <c r="C60" s="5">
        <v>0</v>
      </c>
      <c r="D60">
        <v>0</v>
      </c>
      <c r="E60" s="6">
        <f>C60*D60/100</f>
        <v>0</v>
      </c>
    </row>
    <row r="61" spans="1:5" x14ac:dyDescent="0.2">
      <c r="B61" t="s">
        <v>55</v>
      </c>
      <c r="C61" s="5">
        <v>0</v>
      </c>
      <c r="D61">
        <v>0</v>
      </c>
      <c r="E61" s="6">
        <f t="shared" ref="E61" si="7">C61*D61/100</f>
        <v>0</v>
      </c>
    </row>
    <row r="62" spans="1:5" x14ac:dyDescent="0.2">
      <c r="B62" t="s">
        <v>56</v>
      </c>
      <c r="C62" s="5">
        <v>0</v>
      </c>
      <c r="D62">
        <v>0</v>
      </c>
      <c r="E62" s="6">
        <f>C62*D62/100</f>
        <v>0</v>
      </c>
    </row>
    <row r="63" spans="1:5" x14ac:dyDescent="0.2">
      <c r="B63" t="s">
        <v>57</v>
      </c>
      <c r="C63" s="5">
        <v>0</v>
      </c>
      <c r="D63">
        <v>0</v>
      </c>
      <c r="E63" s="6">
        <f>C63*D63/100</f>
        <v>0</v>
      </c>
    </row>
    <row r="64" spans="1:5" x14ac:dyDescent="0.2">
      <c r="B64" t="s">
        <v>58</v>
      </c>
      <c r="C64" s="5">
        <v>0</v>
      </c>
      <c r="D64">
        <v>0</v>
      </c>
      <c r="E64" s="6">
        <f>C64*D64/100</f>
        <v>0</v>
      </c>
    </row>
    <row r="65" spans="1:6" x14ac:dyDescent="0.2">
      <c r="B65" t="s">
        <v>59</v>
      </c>
      <c r="C65" s="5">
        <v>0</v>
      </c>
      <c r="D65">
        <v>0</v>
      </c>
      <c r="E65" s="6">
        <f>C65*D65/100</f>
        <v>0</v>
      </c>
    </row>
    <row r="67" spans="1:6" x14ac:dyDescent="0.2">
      <c r="A67" t="s">
        <v>62</v>
      </c>
      <c r="B67" t="s">
        <v>60</v>
      </c>
      <c r="C67" s="5">
        <v>0</v>
      </c>
      <c r="D67">
        <v>0</v>
      </c>
      <c r="E67" s="6">
        <f>C67*D67/100</f>
        <v>0</v>
      </c>
    </row>
    <row r="68" spans="1:6" x14ac:dyDescent="0.2">
      <c r="B68" t="s">
        <v>61</v>
      </c>
      <c r="C68" s="5">
        <v>0</v>
      </c>
      <c r="D68">
        <v>0</v>
      </c>
      <c r="E68" s="6">
        <f>C68*D68/100</f>
        <v>0</v>
      </c>
    </row>
    <row r="70" spans="1:6" ht="27" x14ac:dyDescent="0.35">
      <c r="F70" s="7">
        <f>SUM(E30:E68)</f>
        <v>0</v>
      </c>
    </row>
    <row r="73" spans="1:6" ht="27" x14ac:dyDescent="0.35">
      <c r="A73" s="3" t="s">
        <v>27</v>
      </c>
      <c r="B73" s="8" t="s">
        <v>1</v>
      </c>
      <c r="C73" s="8" t="s">
        <v>11</v>
      </c>
      <c r="D73" s="8" t="s">
        <v>8</v>
      </c>
      <c r="E73" s="9" t="s">
        <v>10</v>
      </c>
      <c r="F73" s="8" t="s">
        <v>9</v>
      </c>
    </row>
    <row r="74" spans="1:6" x14ac:dyDescent="0.2">
      <c r="B74" t="s">
        <v>64</v>
      </c>
      <c r="C74" s="5">
        <v>0</v>
      </c>
      <c r="D74">
        <v>0</v>
      </c>
      <c r="E74" s="6">
        <f>C74*D74/100</f>
        <v>0</v>
      </c>
    </row>
    <row r="75" spans="1:6" x14ac:dyDescent="0.2">
      <c r="B75" t="s">
        <v>65</v>
      </c>
      <c r="C75" s="5">
        <v>0</v>
      </c>
      <c r="D75">
        <v>0</v>
      </c>
      <c r="E75" s="6">
        <f t="shared" ref="E75:E76" si="8">C75*D75/100</f>
        <v>0</v>
      </c>
    </row>
    <row r="76" spans="1:6" x14ac:dyDescent="0.2">
      <c r="B76" t="s">
        <v>66</v>
      </c>
      <c r="C76" s="5">
        <v>0</v>
      </c>
      <c r="D76">
        <v>0</v>
      </c>
      <c r="E76" s="6">
        <f t="shared" si="8"/>
        <v>0</v>
      </c>
    </row>
    <row r="77" spans="1:6" x14ac:dyDescent="0.2">
      <c r="B77" t="s">
        <v>67</v>
      </c>
      <c r="C77" s="5">
        <v>0</v>
      </c>
      <c r="D77">
        <v>0</v>
      </c>
      <c r="E77" s="6">
        <f>C77*D77/100</f>
        <v>0</v>
      </c>
    </row>
    <row r="78" spans="1:6" x14ac:dyDescent="0.2">
      <c r="B78" t="s">
        <v>68</v>
      </c>
      <c r="C78" s="5">
        <v>0</v>
      </c>
      <c r="D78">
        <v>0</v>
      </c>
      <c r="E78" s="6">
        <f t="shared" ref="E78:E80" si="9">C78*D78/100</f>
        <v>0</v>
      </c>
    </row>
    <row r="79" spans="1:6" x14ac:dyDescent="0.2">
      <c r="B79" t="s">
        <v>69</v>
      </c>
      <c r="C79" s="5">
        <v>0</v>
      </c>
      <c r="D79">
        <v>0</v>
      </c>
      <c r="E79" s="6">
        <f t="shared" si="9"/>
        <v>0</v>
      </c>
    </row>
    <row r="80" spans="1:6" x14ac:dyDescent="0.2">
      <c r="B80" t="s">
        <v>85</v>
      </c>
      <c r="C80" s="5">
        <v>0</v>
      </c>
      <c r="D80">
        <v>0</v>
      </c>
      <c r="E80" s="6">
        <f t="shared" si="9"/>
        <v>0</v>
      </c>
    </row>
    <row r="81" spans="2:5" x14ac:dyDescent="0.2">
      <c r="B81" t="s">
        <v>70</v>
      </c>
      <c r="C81" s="5">
        <v>0</v>
      </c>
      <c r="D81">
        <v>0</v>
      </c>
      <c r="E81" s="6">
        <f>C81*D81/100</f>
        <v>0</v>
      </c>
    </row>
    <row r="82" spans="2:5" x14ac:dyDescent="0.2">
      <c r="B82" t="s">
        <v>71</v>
      </c>
      <c r="C82" s="5">
        <v>0</v>
      </c>
      <c r="D82">
        <v>0</v>
      </c>
      <c r="E82" s="6">
        <f t="shared" ref="E82:E84" si="10">C82*D82/100</f>
        <v>0</v>
      </c>
    </row>
    <row r="83" spans="2:5" x14ac:dyDescent="0.2">
      <c r="B83" t="s">
        <v>72</v>
      </c>
      <c r="C83" s="5">
        <v>0</v>
      </c>
      <c r="D83">
        <v>0</v>
      </c>
      <c r="E83" s="6">
        <f t="shared" si="10"/>
        <v>0</v>
      </c>
    </row>
    <row r="84" spans="2:5" x14ac:dyDescent="0.2">
      <c r="B84" t="s">
        <v>73</v>
      </c>
      <c r="C84" s="5">
        <v>0</v>
      </c>
      <c r="D84">
        <v>0</v>
      </c>
      <c r="E84" s="6">
        <f t="shared" si="10"/>
        <v>0</v>
      </c>
    </row>
    <row r="85" spans="2:5" x14ac:dyDescent="0.2">
      <c r="B85" t="s">
        <v>74</v>
      </c>
      <c r="C85" s="5">
        <v>0</v>
      </c>
      <c r="D85">
        <v>0</v>
      </c>
      <c r="E85" s="6">
        <f>C85*D85/100</f>
        <v>0</v>
      </c>
    </row>
    <row r="86" spans="2:5" x14ac:dyDescent="0.2">
      <c r="B86" t="s">
        <v>75</v>
      </c>
      <c r="C86" s="5">
        <v>0</v>
      </c>
      <c r="D86">
        <v>0</v>
      </c>
      <c r="E86" s="6">
        <f t="shared" ref="E86:E89" si="11">C86*D86/100</f>
        <v>0</v>
      </c>
    </row>
    <row r="87" spans="2:5" x14ac:dyDescent="0.2">
      <c r="B87" t="s">
        <v>76</v>
      </c>
      <c r="C87" s="5">
        <v>0</v>
      </c>
      <c r="D87">
        <v>0</v>
      </c>
      <c r="E87" s="6">
        <f t="shared" si="11"/>
        <v>0</v>
      </c>
    </row>
    <row r="88" spans="2:5" x14ac:dyDescent="0.2">
      <c r="B88" t="s">
        <v>77</v>
      </c>
      <c r="C88" s="5">
        <v>0</v>
      </c>
      <c r="D88">
        <v>0</v>
      </c>
      <c r="E88" s="6">
        <f t="shared" si="11"/>
        <v>0</v>
      </c>
    </row>
    <row r="89" spans="2:5" x14ac:dyDescent="0.2">
      <c r="B89" t="s">
        <v>78</v>
      </c>
      <c r="C89" s="5">
        <v>0</v>
      </c>
      <c r="D89">
        <v>0</v>
      </c>
      <c r="E89" s="6">
        <f t="shared" si="11"/>
        <v>0</v>
      </c>
    </row>
    <row r="90" spans="2:5" x14ac:dyDescent="0.2">
      <c r="B90" t="s">
        <v>79</v>
      </c>
      <c r="C90" s="5">
        <v>0</v>
      </c>
      <c r="D90">
        <v>0</v>
      </c>
      <c r="E90" s="6">
        <f>C90*D90/100</f>
        <v>0</v>
      </c>
    </row>
    <row r="91" spans="2:5" x14ac:dyDescent="0.2">
      <c r="B91" t="s">
        <v>86</v>
      </c>
      <c r="C91" s="5">
        <v>0</v>
      </c>
      <c r="D91">
        <v>0</v>
      </c>
      <c r="E91" s="6">
        <f t="shared" ref="E91:E93" si="12">C91*D91/100</f>
        <v>0</v>
      </c>
    </row>
    <row r="92" spans="2:5" x14ac:dyDescent="0.2">
      <c r="B92" t="s">
        <v>87</v>
      </c>
      <c r="C92" s="5">
        <v>0</v>
      </c>
      <c r="D92">
        <v>0</v>
      </c>
      <c r="E92" s="6">
        <f t="shared" si="12"/>
        <v>0</v>
      </c>
    </row>
    <row r="93" spans="2:5" x14ac:dyDescent="0.2">
      <c r="B93" t="s">
        <v>80</v>
      </c>
      <c r="C93" s="5">
        <v>0</v>
      </c>
      <c r="D93">
        <v>0</v>
      </c>
      <c r="E93" s="6">
        <f t="shared" si="12"/>
        <v>0</v>
      </c>
    </row>
    <row r="94" spans="2:5" x14ac:dyDescent="0.2">
      <c r="B94" t="s">
        <v>81</v>
      </c>
      <c r="C94" s="5">
        <v>0</v>
      </c>
      <c r="D94">
        <v>0</v>
      </c>
      <c r="E94" s="6">
        <f>C94*D94/100</f>
        <v>0</v>
      </c>
    </row>
    <row r="95" spans="2:5" x14ac:dyDescent="0.2">
      <c r="B95" t="s">
        <v>82</v>
      </c>
      <c r="C95" s="5">
        <v>0</v>
      </c>
      <c r="D95">
        <v>0</v>
      </c>
      <c r="E95" s="6">
        <f t="shared" ref="E95:E97" si="13">C95*D95/100</f>
        <v>0</v>
      </c>
    </row>
    <row r="96" spans="2:5" x14ac:dyDescent="0.2">
      <c r="B96" t="s">
        <v>83</v>
      </c>
      <c r="C96" s="5">
        <v>0</v>
      </c>
      <c r="D96">
        <v>0</v>
      </c>
      <c r="E96" s="6">
        <f t="shared" si="13"/>
        <v>0</v>
      </c>
    </row>
    <row r="97" spans="1:6" x14ac:dyDescent="0.2">
      <c r="B97" t="s">
        <v>84</v>
      </c>
      <c r="C97" s="5">
        <v>0</v>
      </c>
      <c r="D97">
        <v>0</v>
      </c>
      <c r="E97" s="6">
        <f t="shared" si="13"/>
        <v>0</v>
      </c>
    </row>
    <row r="99" spans="1:6" ht="27" x14ac:dyDescent="0.35">
      <c r="F99" s="7">
        <f>SUM(E74:E97)</f>
        <v>0</v>
      </c>
    </row>
    <row r="103" spans="1:6" ht="27" x14ac:dyDescent="0.35">
      <c r="A103" s="3" t="s">
        <v>28</v>
      </c>
      <c r="B103" s="8" t="s">
        <v>1</v>
      </c>
      <c r="C103" s="8" t="s">
        <v>11</v>
      </c>
      <c r="D103" s="8" t="s">
        <v>8</v>
      </c>
      <c r="E103" s="9" t="s">
        <v>10</v>
      </c>
      <c r="F103" s="8" t="s">
        <v>9</v>
      </c>
    </row>
    <row r="104" spans="1:6" x14ac:dyDescent="0.2">
      <c r="B104" t="s">
        <v>28</v>
      </c>
      <c r="C104" s="5">
        <v>0</v>
      </c>
      <c r="D104">
        <v>0</v>
      </c>
      <c r="E104" s="6">
        <f>C104*D104/100</f>
        <v>0</v>
      </c>
    </row>
    <row r="105" spans="1:6" x14ac:dyDescent="0.2">
      <c r="B105" t="s">
        <v>15</v>
      </c>
      <c r="C105" s="5">
        <v>0</v>
      </c>
      <c r="D105">
        <v>0</v>
      </c>
      <c r="E105" s="6">
        <f t="shared" ref="E105:E106" si="14">C105*D105/100</f>
        <v>0</v>
      </c>
    </row>
    <row r="106" spans="1:6" x14ac:dyDescent="0.2">
      <c r="B106" t="s">
        <v>88</v>
      </c>
      <c r="C106" s="5">
        <v>0</v>
      </c>
      <c r="D106">
        <v>0</v>
      </c>
      <c r="E106" s="6">
        <f t="shared" si="14"/>
        <v>0</v>
      </c>
    </row>
    <row r="107" spans="1:6" x14ac:dyDescent="0.2">
      <c r="B107" t="s">
        <v>89</v>
      </c>
      <c r="C107" s="5">
        <v>0</v>
      </c>
      <c r="D107">
        <v>0</v>
      </c>
      <c r="E107" s="6">
        <f>C107*D107/100</f>
        <v>0</v>
      </c>
    </row>
    <row r="108" spans="1:6" x14ac:dyDescent="0.2">
      <c r="B108" t="s">
        <v>90</v>
      </c>
      <c r="C108" s="5">
        <v>0</v>
      </c>
      <c r="D108">
        <v>0</v>
      </c>
      <c r="E108" s="6">
        <f t="shared" ref="E108:E109" si="15">C108*D108/100</f>
        <v>0</v>
      </c>
    </row>
    <row r="109" spans="1:6" x14ac:dyDescent="0.2">
      <c r="B109" t="s">
        <v>91</v>
      </c>
      <c r="C109" s="5">
        <v>0</v>
      </c>
      <c r="D109">
        <v>0</v>
      </c>
      <c r="E109" s="6">
        <f t="shared" si="15"/>
        <v>0</v>
      </c>
    </row>
    <row r="110" spans="1:6" x14ac:dyDescent="0.2">
      <c r="C110" s="5"/>
      <c r="E110" s="6"/>
    </row>
    <row r="112" spans="1:6" ht="27" x14ac:dyDescent="0.35">
      <c r="F112" s="7">
        <f>SUM(E104:E110)</f>
        <v>0</v>
      </c>
    </row>
    <row r="120" spans="1:6" ht="27" x14ac:dyDescent="0.35">
      <c r="A120" s="3" t="s">
        <v>29</v>
      </c>
      <c r="B120" s="8" t="s">
        <v>1</v>
      </c>
      <c r="C120" s="9" t="s">
        <v>11</v>
      </c>
      <c r="D120" s="8"/>
      <c r="E120" s="9"/>
      <c r="F120" s="8" t="s">
        <v>9</v>
      </c>
    </row>
    <row r="121" spans="1:6" x14ac:dyDescent="0.2">
      <c r="B121" t="s">
        <v>4</v>
      </c>
      <c r="C121" s="13">
        <f>F15</f>
        <v>0</v>
      </c>
    </row>
    <row r="122" spans="1:6" x14ac:dyDescent="0.2">
      <c r="B122" t="s">
        <v>26</v>
      </c>
      <c r="C122" s="13">
        <f>F25</f>
        <v>0</v>
      </c>
    </row>
    <row r="123" spans="1:6" x14ac:dyDescent="0.2">
      <c r="B123" t="s">
        <v>18</v>
      </c>
      <c r="C123" s="13">
        <f>F70</f>
        <v>0</v>
      </c>
    </row>
    <row r="124" spans="1:6" x14ac:dyDescent="0.2">
      <c r="B124" t="s">
        <v>27</v>
      </c>
      <c r="C124" s="13">
        <f>F99</f>
        <v>0</v>
      </c>
    </row>
    <row r="125" spans="1:6" x14ac:dyDescent="0.2">
      <c r="B125" t="s">
        <v>28</v>
      </c>
      <c r="C125" s="13">
        <f>F112</f>
        <v>0</v>
      </c>
    </row>
    <row r="126" spans="1:6" ht="29" x14ac:dyDescent="0.35">
      <c r="F126" s="10">
        <f>SUM(C121:C125)</f>
        <v>0</v>
      </c>
    </row>
    <row r="130" spans="1:6" ht="27" x14ac:dyDescent="0.35">
      <c r="A130" s="3" t="s">
        <v>92</v>
      </c>
      <c r="B130" s="8" t="s">
        <v>1</v>
      </c>
      <c r="C130" s="8" t="s">
        <v>11</v>
      </c>
      <c r="D130" s="8"/>
      <c r="E130" s="9"/>
      <c r="F130" s="8" t="s">
        <v>9</v>
      </c>
    </row>
    <row r="131" spans="1:6" x14ac:dyDescent="0.2">
      <c r="B131" t="s">
        <v>29</v>
      </c>
      <c r="C131" s="4">
        <f>F126</f>
        <v>0</v>
      </c>
    </row>
    <row r="132" spans="1:6" x14ac:dyDescent="0.2">
      <c r="B132" t="s">
        <v>93</v>
      </c>
      <c r="C132" s="5">
        <v>0</v>
      </c>
    </row>
    <row r="133" spans="1:6" ht="29" x14ac:dyDescent="0.35">
      <c r="F133" s="11">
        <f>C131-C132</f>
        <v>0</v>
      </c>
    </row>
  </sheetData>
  <conditionalFormatting sqref="D8:D14 D30:D47 D49:D53 D55:D65 D67:D68">
    <cfRule type="cellIs" dxfId="7" priority="7" operator="lessThan">
      <formula>100</formula>
    </cfRule>
    <cfRule type="cellIs" dxfId="6" priority="8" operator="equal">
      <formula>100</formula>
    </cfRule>
  </conditionalFormatting>
  <conditionalFormatting sqref="D20:D24">
    <cfRule type="cellIs" dxfId="5" priority="5" operator="lessThan">
      <formula>100</formula>
    </cfRule>
    <cfRule type="cellIs" dxfId="4" priority="6" operator="equal">
      <formula>100</formula>
    </cfRule>
  </conditionalFormatting>
  <conditionalFormatting sqref="D74:D97">
    <cfRule type="cellIs" dxfId="3" priority="3" operator="lessThan">
      <formula>100</formula>
    </cfRule>
    <cfRule type="cellIs" dxfId="2" priority="4" operator="equal">
      <formula>100</formula>
    </cfRule>
  </conditionalFormatting>
  <conditionalFormatting sqref="D104:D110">
    <cfRule type="cellIs" dxfId="1" priority="1" operator="lessThan">
      <formula>100</formula>
    </cfRule>
    <cfRule type="cellIs" dxfId="0" priority="2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069A-3BBD-A14D-8DB2-865324A5FCDA}">
  <dimension ref="A1:P53"/>
  <sheetViews>
    <sheetView workbookViewId="0">
      <selection activeCell="D4" sqref="D4"/>
    </sheetView>
  </sheetViews>
  <sheetFormatPr baseColWidth="10" defaultRowHeight="16" x14ac:dyDescent="0.2"/>
  <cols>
    <col min="1" max="1" width="53.33203125" bestFit="1" customWidth="1"/>
    <col min="2" max="2" width="20" bestFit="1" customWidth="1"/>
  </cols>
  <sheetData>
    <row r="1" spans="1:16" ht="24" x14ac:dyDescent="0.3">
      <c r="A1" s="12" t="s">
        <v>95</v>
      </c>
      <c r="B1" s="17">
        <v>800000</v>
      </c>
    </row>
    <row r="2" spans="1:16" ht="24" x14ac:dyDescent="0.3">
      <c r="A2" s="12" t="s">
        <v>101</v>
      </c>
      <c r="B2" s="18">
        <v>1.5</v>
      </c>
    </row>
    <row r="3" spans="1:16" ht="24" x14ac:dyDescent="0.3">
      <c r="A3" s="12" t="s">
        <v>94</v>
      </c>
      <c r="B3" s="14">
        <v>3.2</v>
      </c>
    </row>
    <row r="4" spans="1:16" ht="24" x14ac:dyDescent="0.3">
      <c r="A4" s="12" t="s">
        <v>96</v>
      </c>
      <c r="B4" s="18">
        <v>6000</v>
      </c>
    </row>
    <row r="5" spans="1:16" ht="27" x14ac:dyDescent="0.35">
      <c r="A5" s="12" t="s">
        <v>100</v>
      </c>
      <c r="B5" s="16">
        <f>B1*(B2*B3)/100/12</f>
        <v>3200.0000000000005</v>
      </c>
    </row>
    <row r="6" spans="1:16" ht="24" x14ac:dyDescent="0.3">
      <c r="A6" s="12" t="s">
        <v>109</v>
      </c>
      <c r="B6" s="20">
        <v>6</v>
      </c>
    </row>
    <row r="8" spans="1:16" ht="24" x14ac:dyDescent="0.3">
      <c r="B8" s="15" t="s">
        <v>97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>
        <v>8</v>
      </c>
      <c r="K8" s="15">
        <v>9</v>
      </c>
      <c r="L8" s="15">
        <v>10</v>
      </c>
      <c r="M8" s="15">
        <v>15</v>
      </c>
      <c r="N8" s="15">
        <v>20</v>
      </c>
      <c r="O8" s="15">
        <v>25</v>
      </c>
      <c r="P8" s="15">
        <v>30</v>
      </c>
    </row>
    <row r="9" spans="1:16" ht="27" x14ac:dyDescent="0.35">
      <c r="A9" s="3" t="s">
        <v>107</v>
      </c>
      <c r="B9" s="12" t="s">
        <v>102</v>
      </c>
      <c r="C9" s="19">
        <f>Zinseszinz!$C15</f>
        <v>787079.23637663398</v>
      </c>
      <c r="D9" s="19">
        <f>Zinseszinz!$C27</f>
        <v>773670.24143793725</v>
      </c>
      <c r="E9" s="19">
        <f>Zinseszinz!$C39</f>
        <v>759825.809095492</v>
      </c>
      <c r="F9" s="19">
        <f>Zinseszinz!$C51</f>
        <v>745531.79915956385</v>
      </c>
      <c r="G9" s="19">
        <f>Zinseszinz!$C63</f>
        <v>730773.61225853791</v>
      </c>
      <c r="H9" s="19">
        <f>Zinseszinz!$C75</f>
        <v>715536.17492766271</v>
      </c>
      <c r="I9" s="19">
        <f>Zinseszinz!$C87</f>
        <v>699803.92421357206</v>
      </c>
      <c r="J9" s="19">
        <f>Zinseszinz!$C99</f>
        <v>683560.79177886143</v>
      </c>
      <c r="K9" s="19">
        <f>Zinseszinz!$C111</f>
        <v>666790.18749048479</v>
      </c>
      <c r="L9" s="19">
        <f>Zinseszinz!$C123</f>
        <v>649474.9824752073</v>
      </c>
      <c r="M9" s="19">
        <f>Zinseszinz!$C183</f>
        <v>554090.47138315334</v>
      </c>
      <c r="N9" s="19">
        <f>Zinseszinz!$C243</f>
        <v>442179.54520250513</v>
      </c>
      <c r="O9" s="19">
        <f>Zinseszinz!$C303</f>
        <v>310878.82084775454</v>
      </c>
      <c r="P9" s="19">
        <f>Zinseszinz!$C363</f>
        <v>156828.80263725933</v>
      </c>
    </row>
    <row r="10" spans="1:16" ht="24" x14ac:dyDescent="0.3">
      <c r="B10" s="1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2" spans="1:16" ht="24" x14ac:dyDescent="0.3">
      <c r="B12" s="15" t="s">
        <v>97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15</v>
      </c>
      <c r="N12" s="15">
        <v>20</v>
      </c>
      <c r="O12" s="15">
        <v>25</v>
      </c>
      <c r="P12" s="15">
        <v>30</v>
      </c>
    </row>
    <row r="13" spans="1:16" ht="27" x14ac:dyDescent="0.35">
      <c r="A13" s="3" t="s">
        <v>110</v>
      </c>
      <c r="B13" s="12" t="s">
        <v>102</v>
      </c>
      <c r="C13" s="19">
        <f>Zinseszinz!$L19</f>
        <v>798258.77152461035</v>
      </c>
      <c r="D13" s="19">
        <f>Zinseszinz!$L31</f>
        <v>796903.28647597786</v>
      </c>
      <c r="E13" s="19">
        <f>Zinseszinz!$L43</f>
        <v>795503.78404251544</v>
      </c>
      <c r="F13" s="19">
        <f>Zinseszinz!$L55</f>
        <v>794058.8348243424</v>
      </c>
      <c r="G13" s="19">
        <f>Zinseszinz!$L67</f>
        <v>792566.9630039169</v>
      </c>
      <c r="H13" s="19">
        <f>Zinseszinz!$L79</f>
        <v>791026.6448386925</v>
      </c>
      <c r="I13" s="19">
        <f>Zinseszinz!$L91</f>
        <v>789436.3071048219</v>
      </c>
      <c r="J13" s="19">
        <f>Zinseszinz!$L103</f>
        <v>787794.32549032581</v>
      </c>
      <c r="K13" s="19">
        <f>Zinseszinz!$L115</f>
        <v>786099.02293608093</v>
      </c>
      <c r="L13" s="19">
        <f>Zinseszinz!$L127</f>
        <v>784348.66792293335</v>
      </c>
      <c r="M13" s="19">
        <f>Zinseszinz!$L187</f>
        <v>774706.4628771767</v>
      </c>
      <c r="N13" s="19">
        <f>Zinseszinz!$L247</f>
        <v>763393.63981250837</v>
      </c>
      <c r="O13" s="19">
        <f>Zinseszinz!$L307</f>
        <v>750120.74579239835</v>
      </c>
      <c r="P13" s="19">
        <f>Zinseszinz!$L367</f>
        <v>734548.17697716819</v>
      </c>
    </row>
    <row r="14" spans="1:16" ht="24" x14ac:dyDescent="0.3">
      <c r="B14" s="12" t="s">
        <v>108</v>
      </c>
      <c r="C14" s="19">
        <f>Zinseszinz!O20</f>
        <v>16989.40935022154</v>
      </c>
      <c r="D14" s="19">
        <f>Zinseszinz!$O32</f>
        <v>29879.418821797364</v>
      </c>
      <c r="E14" s="19">
        <f>Zinseszinz!$O44</f>
        <v>43564.455872492639</v>
      </c>
      <c r="F14" s="19">
        <f>Zinseszinz!$O56</f>
        <v>58093.556063759381</v>
      </c>
      <c r="G14" s="19">
        <f>Zinseszinz!$O68</f>
        <v>73518.779363183523</v>
      </c>
      <c r="H14" s="19">
        <f>Zinseszinz!$O80</f>
        <v>89895.396683237414</v>
      </c>
      <c r="I14" s="19">
        <f>Zinseszinz!$O92</f>
        <v>107282.08792533448</v>
      </c>
      <c r="J14" s="19">
        <f>Zinseszinz!$O104</f>
        <v>125741.15223880774</v>
      </c>
      <c r="K14" s="19">
        <f>Zinseszinz!$O116</f>
        <v>145338.73124820206</v>
      </c>
      <c r="L14" s="19">
        <f>Zinseszinz!$O128</f>
        <v>166145.04604873739</v>
      </c>
      <c r="M14" s="19">
        <f>Zinseszinz!$O188</f>
        <v>291083.9999976196</v>
      </c>
      <c r="N14" s="19">
        <f>Zinseszinz!$O248</f>
        <v>459607.92709092004</v>
      </c>
      <c r="O14" s="19">
        <f>Zinseszinz!$O308</f>
        <v>686921.45185892668</v>
      </c>
      <c r="P14" s="19">
        <f>Zinseszinz!$O368</f>
        <v>993533.33441877377</v>
      </c>
    </row>
    <row r="15" spans="1:16" ht="24" x14ac:dyDescent="0.3">
      <c r="B15" s="12" t="s">
        <v>9</v>
      </c>
      <c r="C15" s="19">
        <f>C14-C13</f>
        <v>-781269.36217438884</v>
      </c>
      <c r="D15" s="19">
        <f t="shared" ref="D15:P15" si="0">D14-D13</f>
        <v>-767023.8676541805</v>
      </c>
      <c r="E15" s="19">
        <f t="shared" si="0"/>
        <v>-751939.32817002281</v>
      </c>
      <c r="F15" s="19">
        <f t="shared" si="0"/>
        <v>-735965.27876058302</v>
      </c>
      <c r="G15" s="19">
        <f t="shared" si="0"/>
        <v>-719048.18364073336</v>
      </c>
      <c r="H15" s="19">
        <f t="shared" si="0"/>
        <v>-701131.24815545511</v>
      </c>
      <c r="I15" s="19">
        <f t="shared" si="0"/>
        <v>-682154.21917948744</v>
      </c>
      <c r="J15" s="19">
        <f t="shared" si="0"/>
        <v>-662053.17325151805</v>
      </c>
      <c r="K15" s="19">
        <f t="shared" si="0"/>
        <v>-640760.2916878789</v>
      </c>
      <c r="L15" s="19">
        <f t="shared" si="0"/>
        <v>-618203.62187419599</v>
      </c>
      <c r="M15" s="19">
        <f t="shared" si="0"/>
        <v>-483622.4628795571</v>
      </c>
      <c r="N15" s="19">
        <f t="shared" si="0"/>
        <v>-303785.71272158832</v>
      </c>
      <c r="O15" s="19">
        <f t="shared" si="0"/>
        <v>-63199.293933471665</v>
      </c>
      <c r="P15" s="19">
        <f t="shared" si="0"/>
        <v>258985.15744160558</v>
      </c>
    </row>
    <row r="52" spans="3:16" x14ac:dyDescent="0.2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3:16" x14ac:dyDescent="0.2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</sheetData>
  <conditionalFormatting sqref="B5">
    <cfRule type="cellIs" dxfId="20" priority="10" operator="lessThan">
      <formula>$B$4/3</formula>
    </cfRule>
    <cfRule type="cellIs" dxfId="19" priority="11" operator="lessThan">
      <formula>$B$4/3</formula>
    </cfRule>
    <cfRule type="cellIs" dxfId="18" priority="12" operator="greaterThan">
      <formula>$B$4/3</formula>
    </cfRule>
  </conditionalFormatting>
  <conditionalFormatting sqref="C9:P9">
    <cfRule type="cellIs" dxfId="17" priority="8" operator="lessThan">
      <formula>0</formula>
    </cfRule>
    <cfRule type="cellIs" dxfId="16" priority="9" operator="greaterThan">
      <formula>0</formula>
    </cfRule>
  </conditionalFormatting>
  <conditionalFormatting sqref="C13:P14">
    <cfRule type="cellIs" dxfId="15" priority="4" operator="lessThan">
      <formula>0</formula>
    </cfRule>
    <cfRule type="cellIs" dxfId="14" priority="5" operator="greaterThan">
      <formula>0</formula>
    </cfRule>
  </conditionalFormatting>
  <conditionalFormatting sqref="C14:P15">
    <cfRule type="cellIs" dxfId="13" priority="2" operator="greaterThan">
      <formula>0</formula>
    </cfRule>
  </conditionalFormatting>
  <conditionalFormatting sqref="C15:P15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DBDF-D2F0-4F49-9A19-367FB4D6CF6E}">
  <dimension ref="A1:U483"/>
  <sheetViews>
    <sheetView topLeftCell="A8" workbookViewId="0">
      <selection activeCell="D23" sqref="A1:E483"/>
    </sheetView>
  </sheetViews>
  <sheetFormatPr baseColWidth="10" defaultRowHeight="16" x14ac:dyDescent="0.2"/>
  <cols>
    <col min="1" max="1" width="19.1640625" bestFit="1" customWidth="1"/>
    <col min="3" max="3" width="15" bestFit="1" customWidth="1"/>
    <col min="4" max="4" width="14.6640625" bestFit="1" customWidth="1"/>
    <col min="5" max="5" width="19.6640625" bestFit="1" customWidth="1"/>
    <col min="7" max="7" width="21.33203125" bestFit="1" customWidth="1"/>
    <col min="11" max="11" width="7.6640625" bestFit="1" customWidth="1"/>
    <col min="12" max="12" width="15" bestFit="1" customWidth="1"/>
    <col min="13" max="13" width="14.6640625" bestFit="1" customWidth="1"/>
    <col min="14" max="14" width="19.6640625" bestFit="1" customWidth="1"/>
    <col min="19" max="19" width="10.83203125" style="22"/>
  </cols>
  <sheetData>
    <row r="1" spans="1:21" x14ac:dyDescent="0.2">
      <c r="A1" s="2" t="s">
        <v>103</v>
      </c>
      <c r="G1" s="2" t="s">
        <v>112</v>
      </c>
      <c r="H1" s="21">
        <f>(Finanzierung!B5)*0.7</f>
        <v>2240</v>
      </c>
      <c r="S1" s="22" t="s">
        <v>117</v>
      </c>
    </row>
    <row r="2" spans="1:21" ht="24" x14ac:dyDescent="0.3">
      <c r="A2" s="12" t="s">
        <v>111</v>
      </c>
      <c r="B2" s="12" t="s">
        <v>98</v>
      </c>
      <c r="C2" s="12" t="s">
        <v>104</v>
      </c>
      <c r="D2" s="12" t="s">
        <v>105</v>
      </c>
      <c r="E2" s="12" t="s">
        <v>106</v>
      </c>
      <c r="G2" s="2" t="s">
        <v>99</v>
      </c>
      <c r="H2" s="13">
        <f>H1/L3*12*100-Finanzierung!B3</f>
        <v>0.1599999999999997</v>
      </c>
      <c r="J2" s="12" t="s">
        <v>111</v>
      </c>
      <c r="K2" s="12" t="s">
        <v>98</v>
      </c>
      <c r="L2" s="12" t="s">
        <v>104</v>
      </c>
      <c r="M2" s="12" t="s">
        <v>105</v>
      </c>
      <c r="N2" s="12" t="s">
        <v>106</v>
      </c>
      <c r="O2" s="12" t="s">
        <v>114</v>
      </c>
    </row>
    <row r="3" spans="1:21" x14ac:dyDescent="0.2">
      <c r="B3" s="19"/>
      <c r="C3" s="19">
        <f>Finanzierung!$B$1</f>
        <v>800000</v>
      </c>
      <c r="D3" s="19">
        <f>C3*Finanzierung!$B$3/100/12</f>
        <v>2133.3333333333335</v>
      </c>
      <c r="E3" s="19">
        <f>C3*Finanzierung!$B$2/100/12</f>
        <v>1000</v>
      </c>
      <c r="G3" s="2" t="s">
        <v>113</v>
      </c>
      <c r="H3" s="21">
        <f>B4-H1</f>
        <v>960.00000000000045</v>
      </c>
      <c r="K3" s="19"/>
      <c r="L3" s="19">
        <f>Finanzierung!$B$1</f>
        <v>800000</v>
      </c>
      <c r="M3" s="19">
        <f>L3*Finanzierung!$B$3/100/12</f>
        <v>2133.3333333333335</v>
      </c>
      <c r="N3" s="19">
        <f>H1-M3</f>
        <v>106.66666666666652</v>
      </c>
      <c r="S3" s="22" t="s">
        <v>118</v>
      </c>
      <c r="T3" t="s">
        <v>115</v>
      </c>
      <c r="U3" t="s">
        <v>116</v>
      </c>
    </row>
    <row r="4" spans="1:21" x14ac:dyDescent="0.2">
      <c r="A4">
        <v>1</v>
      </c>
      <c r="B4" s="19">
        <f>Finanzierung!$B$5</f>
        <v>3200.0000000000005</v>
      </c>
      <c r="C4" s="19">
        <f>C3-E3</f>
        <v>799000</v>
      </c>
      <c r="D4" s="19">
        <f>C4*Finanzierung!$B$3/100/12</f>
        <v>2130.6666666666665</v>
      </c>
      <c r="E4" s="19">
        <f>B4-D4</f>
        <v>1069.3333333333339</v>
      </c>
      <c r="J4">
        <v>1</v>
      </c>
      <c r="K4" s="19">
        <f>$H$1</f>
        <v>2240</v>
      </c>
      <c r="L4" s="19">
        <f>L3-N3</f>
        <v>799893.33333333337</v>
      </c>
      <c r="M4" s="19">
        <f>L4*Finanzierung!$B$3/100/12</f>
        <v>2133.048888888889</v>
      </c>
      <c r="N4" s="19">
        <f>K4-M4</f>
        <v>106.951111111111</v>
      </c>
      <c r="O4" s="19">
        <f>H3</f>
        <v>960.00000000000045</v>
      </c>
      <c r="S4" s="22">
        <f t="shared" ref="S4:S67" si="0">J4/12</f>
        <v>8.3333333333333329E-2</v>
      </c>
      <c r="T4" s="19">
        <f t="shared" ref="T4:T67" si="1">-C4</f>
        <v>-799000</v>
      </c>
      <c r="U4" s="19">
        <f t="shared" ref="U4:U67" si="2">O4-L4</f>
        <v>-798933.33333333337</v>
      </c>
    </row>
    <row r="5" spans="1:21" x14ac:dyDescent="0.2">
      <c r="A5">
        <v>2</v>
      </c>
      <c r="B5" s="19">
        <f>Finanzierung!$B$5</f>
        <v>3200.0000000000005</v>
      </c>
      <c r="C5" s="19">
        <f t="shared" ref="C5:C59" si="3">C4-E4</f>
        <v>797930.66666666663</v>
      </c>
      <c r="D5" s="19">
        <f>C5*Finanzierung!$B$3/100/12</f>
        <v>2127.815111111111</v>
      </c>
      <c r="E5" s="19">
        <f>B5-D5</f>
        <v>1072.1848888888894</v>
      </c>
      <c r="J5">
        <v>2</v>
      </c>
      <c r="K5" s="19">
        <f t="shared" ref="K5:K68" si="4">$H$1</f>
        <v>2240</v>
      </c>
      <c r="L5" s="19">
        <f t="shared" ref="L5:L68" si="5">L4-N4</f>
        <v>799786.38222222228</v>
      </c>
      <c r="M5" s="19">
        <f>L5*Finanzierung!$B$3/100/12</f>
        <v>2132.763685925926</v>
      </c>
      <c r="N5" s="19">
        <f t="shared" ref="N5:N68" si="6">K5-M5</f>
        <v>107.23631407407402</v>
      </c>
      <c r="O5">
        <f>O4*(1+Finanzierung!$B$6/100/12)+$H$3</f>
        <v>1924.8000000000009</v>
      </c>
      <c r="S5" s="22">
        <f t="shared" si="0"/>
        <v>0.16666666666666666</v>
      </c>
      <c r="T5" s="19">
        <f t="shared" si="1"/>
        <v>-797930.66666666663</v>
      </c>
      <c r="U5" s="19">
        <f t="shared" si="2"/>
        <v>-797861.58222222223</v>
      </c>
    </row>
    <row r="6" spans="1:21" x14ac:dyDescent="0.2">
      <c r="A6">
        <v>3</v>
      </c>
      <c r="B6" s="19">
        <f>Finanzierung!$B$5</f>
        <v>3200.0000000000005</v>
      </c>
      <c r="C6" s="19">
        <f t="shared" si="3"/>
        <v>796858.48177777778</v>
      </c>
      <c r="D6" s="19">
        <f>C6*Finanzierung!$B$3/100/12</f>
        <v>2124.9559514074076</v>
      </c>
      <c r="E6" s="19">
        <f t="shared" ref="E6:E69" si="7">B6-D6</f>
        <v>1075.0440485925928</v>
      </c>
      <c r="J6">
        <v>3</v>
      </c>
      <c r="K6" s="19">
        <f t="shared" si="4"/>
        <v>2240</v>
      </c>
      <c r="L6" s="19">
        <f t="shared" si="5"/>
        <v>799679.14590814826</v>
      </c>
      <c r="M6" s="19">
        <f>L6*Finanzierung!$B$3/100/12</f>
        <v>2132.4777224217291</v>
      </c>
      <c r="N6" s="19">
        <f t="shared" si="6"/>
        <v>107.52227757827086</v>
      </c>
      <c r="O6">
        <f>O5*(1+Finanzierung!$B$6/100/12)+$H$3</f>
        <v>2894.4240000000009</v>
      </c>
      <c r="S6" s="22">
        <f t="shared" si="0"/>
        <v>0.25</v>
      </c>
      <c r="T6" s="19">
        <f t="shared" si="1"/>
        <v>-796858.48177777778</v>
      </c>
      <c r="U6" s="19">
        <f t="shared" si="2"/>
        <v>-796784.72190814826</v>
      </c>
    </row>
    <row r="7" spans="1:21" x14ac:dyDescent="0.2">
      <c r="A7">
        <v>4</v>
      </c>
      <c r="B7" s="19">
        <f>Finanzierung!$B$5</f>
        <v>3200.0000000000005</v>
      </c>
      <c r="C7" s="19">
        <f t="shared" si="3"/>
        <v>795783.43772918521</v>
      </c>
      <c r="D7" s="19">
        <f>C7*Finanzierung!$B$3/100/12</f>
        <v>2122.0891672778275</v>
      </c>
      <c r="E7" s="19">
        <f t="shared" si="7"/>
        <v>1077.9108327221729</v>
      </c>
      <c r="J7">
        <v>4</v>
      </c>
      <c r="K7" s="19">
        <f t="shared" si="4"/>
        <v>2240</v>
      </c>
      <c r="L7" s="19">
        <f t="shared" si="5"/>
        <v>799571.62363057001</v>
      </c>
      <c r="M7" s="19">
        <f>L7*Finanzierung!$B$3/100/12</f>
        <v>2132.1909963481871</v>
      </c>
      <c r="N7" s="19">
        <f t="shared" si="6"/>
        <v>107.80900365181287</v>
      </c>
      <c r="O7">
        <f>O6*(1+Finanzierung!$B$6/100/12)+$H$3</f>
        <v>3868.8961200000012</v>
      </c>
      <c r="S7" s="22">
        <f t="shared" si="0"/>
        <v>0.33333333333333331</v>
      </c>
      <c r="T7" s="19">
        <f t="shared" si="1"/>
        <v>-795783.43772918521</v>
      </c>
      <c r="U7" s="19">
        <f t="shared" si="2"/>
        <v>-795702.72751056997</v>
      </c>
    </row>
    <row r="8" spans="1:21" x14ac:dyDescent="0.2">
      <c r="A8">
        <v>5</v>
      </c>
      <c r="B8" s="19">
        <f>Finanzierung!$B$5</f>
        <v>3200.0000000000005</v>
      </c>
      <c r="C8" s="19">
        <f t="shared" si="3"/>
        <v>794705.52689646301</v>
      </c>
      <c r="D8" s="19">
        <f>C8*Finanzierung!$B$3/100/12</f>
        <v>2119.2147383905681</v>
      </c>
      <c r="E8" s="19">
        <f t="shared" si="7"/>
        <v>1080.7852616094324</v>
      </c>
      <c r="J8">
        <v>5</v>
      </c>
      <c r="K8" s="19">
        <f t="shared" si="4"/>
        <v>2240</v>
      </c>
      <c r="L8" s="19">
        <f t="shared" si="5"/>
        <v>799463.81462691817</v>
      </c>
      <c r="M8" s="19">
        <f>L8*Finanzierung!$B$3/100/12</f>
        <v>2131.9035056717817</v>
      </c>
      <c r="N8" s="19">
        <f t="shared" si="6"/>
        <v>108.09649432821834</v>
      </c>
      <c r="O8">
        <f>O7*(1+Finanzierung!$B$6/100/12)+$H$3</f>
        <v>4848.2406006000019</v>
      </c>
      <c r="S8" s="22">
        <f t="shared" si="0"/>
        <v>0.41666666666666669</v>
      </c>
      <c r="T8" s="19">
        <f t="shared" si="1"/>
        <v>-794705.52689646301</v>
      </c>
      <c r="U8" s="19">
        <f t="shared" si="2"/>
        <v>-794615.57402631815</v>
      </c>
    </row>
    <row r="9" spans="1:21" x14ac:dyDescent="0.2">
      <c r="A9">
        <v>6</v>
      </c>
      <c r="B9" s="19">
        <f>Finanzierung!$B$5</f>
        <v>3200.0000000000005</v>
      </c>
      <c r="C9" s="19">
        <f t="shared" si="3"/>
        <v>793624.74163485353</v>
      </c>
      <c r="D9" s="19">
        <f>C9*Finanzierung!$B$3/100/12</f>
        <v>2116.3326443596093</v>
      </c>
      <c r="E9" s="19">
        <f t="shared" si="7"/>
        <v>1083.6673556403912</v>
      </c>
      <c r="J9">
        <v>6</v>
      </c>
      <c r="K9" s="19">
        <f t="shared" si="4"/>
        <v>2240</v>
      </c>
      <c r="L9" s="19">
        <f t="shared" si="5"/>
        <v>799355.71813258994</v>
      </c>
      <c r="M9" s="19">
        <f>L9*Finanzierung!$B$3/100/12</f>
        <v>2131.6152483535734</v>
      </c>
      <c r="N9" s="19">
        <f t="shared" si="6"/>
        <v>108.38475164642659</v>
      </c>
      <c r="O9">
        <f>O8*(1+Finanzierung!$B$6/100/12)+$H$3</f>
        <v>5832.481803603001</v>
      </c>
      <c r="S9" s="22">
        <f t="shared" si="0"/>
        <v>0.5</v>
      </c>
      <c r="T9" s="19">
        <f t="shared" si="1"/>
        <v>-793624.74163485353</v>
      </c>
      <c r="U9" s="19">
        <f t="shared" si="2"/>
        <v>-793523.23632898694</v>
      </c>
    </row>
    <row r="10" spans="1:21" x14ac:dyDescent="0.2">
      <c r="A10">
        <v>7</v>
      </c>
      <c r="B10" s="19">
        <f>Finanzierung!$B$5</f>
        <v>3200.0000000000005</v>
      </c>
      <c r="C10" s="19">
        <f t="shared" si="3"/>
        <v>792541.07427921309</v>
      </c>
      <c r="D10" s="19">
        <f>C10*Finanzierung!$B$3/100/12</f>
        <v>2113.4428647445689</v>
      </c>
      <c r="E10" s="19">
        <f t="shared" si="7"/>
        <v>1086.5571352554316</v>
      </c>
      <c r="J10">
        <v>7</v>
      </c>
      <c r="K10" s="19">
        <f t="shared" si="4"/>
        <v>2240</v>
      </c>
      <c r="L10" s="19">
        <f t="shared" si="5"/>
        <v>799247.33338094351</v>
      </c>
      <c r="M10" s="19">
        <f>L10*Finanzierung!$B$3/100/12</f>
        <v>2131.3262223491829</v>
      </c>
      <c r="N10" s="19">
        <f t="shared" si="6"/>
        <v>108.6737776508171</v>
      </c>
      <c r="O10">
        <f>O9*(1+Finanzierung!$B$6/100/12)+$H$3</f>
        <v>6821.644212621015</v>
      </c>
      <c r="S10" s="22">
        <f t="shared" si="0"/>
        <v>0.58333333333333337</v>
      </c>
      <c r="T10" s="19">
        <f t="shared" si="1"/>
        <v>-792541.07427921309</v>
      </c>
      <c r="U10" s="19">
        <f t="shared" si="2"/>
        <v>-792425.68916832248</v>
      </c>
    </row>
    <row r="11" spans="1:21" x14ac:dyDescent="0.2">
      <c r="A11">
        <v>8</v>
      </c>
      <c r="B11" s="19">
        <f>Finanzierung!$B$5</f>
        <v>3200.0000000000005</v>
      </c>
      <c r="C11" s="19">
        <f t="shared" si="3"/>
        <v>791454.51714395767</v>
      </c>
      <c r="D11" s="19">
        <f>C11*Finanzierung!$B$3/100/12</f>
        <v>2110.5453790505539</v>
      </c>
      <c r="E11" s="19">
        <f t="shared" si="7"/>
        <v>1089.4546209494465</v>
      </c>
      <c r="J11">
        <v>8</v>
      </c>
      <c r="K11" s="19">
        <f t="shared" si="4"/>
        <v>2240</v>
      </c>
      <c r="L11" s="19">
        <f t="shared" si="5"/>
        <v>799138.6596032927</v>
      </c>
      <c r="M11" s="19">
        <f>L11*Finanzierung!$B$3/100/12</f>
        <v>2131.036425608781</v>
      </c>
      <c r="N11" s="19">
        <f t="shared" si="6"/>
        <v>108.96357439121903</v>
      </c>
      <c r="O11">
        <f>O10*(1+Finanzierung!$B$6/100/12)+$H$3</f>
        <v>7815.7524336841198</v>
      </c>
      <c r="S11" s="22">
        <f t="shared" si="0"/>
        <v>0.66666666666666663</v>
      </c>
      <c r="T11" s="19">
        <f t="shared" si="1"/>
        <v>-791454.51714395767</v>
      </c>
      <c r="U11" s="19">
        <f t="shared" si="2"/>
        <v>-791322.90716960863</v>
      </c>
    </row>
    <row r="12" spans="1:21" x14ac:dyDescent="0.2">
      <c r="A12">
        <v>9</v>
      </c>
      <c r="B12" s="19">
        <f>Finanzierung!$B$5</f>
        <v>3200.0000000000005</v>
      </c>
      <c r="C12" s="19">
        <f t="shared" si="3"/>
        <v>790365.06252300821</v>
      </c>
      <c r="D12" s="19">
        <f>C12*Finanzierung!$B$3/100/12</f>
        <v>2107.640166728022</v>
      </c>
      <c r="E12" s="19">
        <f t="shared" si="7"/>
        <v>1092.3598332719785</v>
      </c>
      <c r="J12">
        <v>9</v>
      </c>
      <c r="K12" s="19">
        <f t="shared" si="4"/>
        <v>2240</v>
      </c>
      <c r="L12" s="19">
        <f t="shared" si="5"/>
        <v>799029.6960289015</v>
      </c>
      <c r="M12" s="19">
        <f>L12*Finanzierung!$B$3/100/12</f>
        <v>2130.7458560770706</v>
      </c>
      <c r="N12" s="19">
        <f t="shared" si="6"/>
        <v>109.25414392292942</v>
      </c>
      <c r="O12">
        <f>O11*(1+Finanzierung!$B$6/100/12)+$H$3</f>
        <v>8814.8311958525392</v>
      </c>
      <c r="S12" s="22">
        <f t="shared" si="0"/>
        <v>0.75</v>
      </c>
      <c r="T12" s="19">
        <f t="shared" si="1"/>
        <v>-790365.06252300821</v>
      </c>
      <c r="U12" s="19">
        <f t="shared" si="2"/>
        <v>-790214.86483304901</v>
      </c>
    </row>
    <row r="13" spans="1:21" x14ac:dyDescent="0.2">
      <c r="A13">
        <v>10</v>
      </c>
      <c r="B13" s="19">
        <f>Finanzierung!$B$5</f>
        <v>3200.0000000000005</v>
      </c>
      <c r="C13" s="19">
        <f t="shared" si="3"/>
        <v>789272.70268973627</v>
      </c>
      <c r="D13" s="19">
        <f>C13*Finanzierung!$B$3/100/12</f>
        <v>2104.7272071726302</v>
      </c>
      <c r="E13" s="19">
        <f t="shared" si="7"/>
        <v>1095.2727928273703</v>
      </c>
      <c r="J13">
        <v>10</v>
      </c>
      <c r="K13" s="19">
        <f t="shared" si="4"/>
        <v>2240</v>
      </c>
      <c r="L13" s="19">
        <f t="shared" si="5"/>
        <v>798920.44188497856</v>
      </c>
      <c r="M13" s="19">
        <f>L13*Finanzierung!$B$3/100/12</f>
        <v>2130.4545116932763</v>
      </c>
      <c r="N13" s="19">
        <f t="shared" si="6"/>
        <v>109.54548830672366</v>
      </c>
      <c r="O13">
        <f>O12*(1+Finanzierung!$B$6/100/12)+$H$3</f>
        <v>9818.9053518318015</v>
      </c>
      <c r="S13" s="22">
        <f t="shared" si="0"/>
        <v>0.83333333333333337</v>
      </c>
      <c r="T13" s="19">
        <f t="shared" si="1"/>
        <v>-789272.70268973627</v>
      </c>
      <c r="U13" s="19">
        <f t="shared" si="2"/>
        <v>-789101.53653314675</v>
      </c>
    </row>
    <row r="14" spans="1:21" x14ac:dyDescent="0.2">
      <c r="A14">
        <v>11</v>
      </c>
      <c r="B14" s="19">
        <f>Finanzierung!$B$5</f>
        <v>3200.0000000000005</v>
      </c>
      <c r="C14" s="19">
        <f t="shared" si="3"/>
        <v>788177.42989690893</v>
      </c>
      <c r="D14" s="19">
        <f>C14*Finanzierung!$B$3/100/12</f>
        <v>2101.8064797250904</v>
      </c>
      <c r="E14" s="19">
        <f t="shared" si="7"/>
        <v>1098.19352027491</v>
      </c>
      <c r="J14">
        <v>11</v>
      </c>
      <c r="K14" s="19">
        <f t="shared" si="4"/>
        <v>2240</v>
      </c>
      <c r="L14" s="19">
        <f t="shared" si="5"/>
        <v>798810.89639667189</v>
      </c>
      <c r="M14" s="19">
        <f>L14*Finanzierung!$B$3/100/12</f>
        <v>2130.162390391125</v>
      </c>
      <c r="N14" s="19">
        <f t="shared" si="6"/>
        <v>109.83760960887503</v>
      </c>
      <c r="O14">
        <f>O13*(1+Finanzierung!$B$6/100/12)+$H$3</f>
        <v>10827.999878590959</v>
      </c>
      <c r="S14" s="22">
        <f t="shared" si="0"/>
        <v>0.91666666666666663</v>
      </c>
      <c r="T14" s="19">
        <f t="shared" si="1"/>
        <v>-788177.42989690893</v>
      </c>
      <c r="U14" s="19">
        <f t="shared" si="2"/>
        <v>-787982.89651808096</v>
      </c>
    </row>
    <row r="15" spans="1:21" x14ac:dyDescent="0.2">
      <c r="A15">
        <v>12</v>
      </c>
      <c r="B15" s="19">
        <f>Finanzierung!$B$5</f>
        <v>3200.0000000000005</v>
      </c>
      <c r="C15" s="19">
        <f t="shared" si="3"/>
        <v>787079.23637663398</v>
      </c>
      <c r="D15" s="19">
        <f>C15*Finanzierung!$B$3/100/12</f>
        <v>2098.8779636710242</v>
      </c>
      <c r="E15" s="19">
        <f t="shared" si="7"/>
        <v>1101.1220363289763</v>
      </c>
      <c r="J15">
        <v>12</v>
      </c>
      <c r="K15" s="19">
        <f t="shared" si="4"/>
        <v>2240</v>
      </c>
      <c r="L15" s="19">
        <f t="shared" si="5"/>
        <v>798701.058787063</v>
      </c>
      <c r="M15" s="19">
        <f>L15*Finanzierung!$B$3/100/12</f>
        <v>2129.8694900988348</v>
      </c>
      <c r="N15" s="19">
        <f t="shared" si="6"/>
        <v>110.13050990116517</v>
      </c>
      <c r="O15">
        <f>O14*(1+Finanzierung!$B$6/100/12)+$H$3</f>
        <v>11842.139877983913</v>
      </c>
      <c r="S15" s="22">
        <f t="shared" si="0"/>
        <v>1</v>
      </c>
      <c r="T15" s="19">
        <f t="shared" si="1"/>
        <v>-787079.23637663398</v>
      </c>
      <c r="U15" s="19">
        <f t="shared" si="2"/>
        <v>-786858.91890907905</v>
      </c>
    </row>
    <row r="16" spans="1:21" x14ac:dyDescent="0.2">
      <c r="A16">
        <v>13</v>
      </c>
      <c r="B16" s="19">
        <f>Finanzierung!$B$5</f>
        <v>3200.0000000000005</v>
      </c>
      <c r="C16" s="19">
        <f t="shared" si="3"/>
        <v>785978.11434030498</v>
      </c>
      <c r="D16" s="19">
        <f>C16*Finanzierung!$B$3/100/12</f>
        <v>2095.9416382408135</v>
      </c>
      <c r="E16" s="19">
        <f t="shared" si="7"/>
        <v>1104.0583617591869</v>
      </c>
      <c r="J16">
        <v>13</v>
      </c>
      <c r="K16" s="19">
        <f t="shared" si="4"/>
        <v>2240</v>
      </c>
      <c r="L16" s="19">
        <f t="shared" si="5"/>
        <v>798590.92827716179</v>
      </c>
      <c r="M16" s="19">
        <f>L16*Finanzierung!$B$3/100/12</f>
        <v>2129.5758087390982</v>
      </c>
      <c r="N16" s="19">
        <f t="shared" si="6"/>
        <v>110.42419126090181</v>
      </c>
      <c r="O16">
        <f>O15*(1+Finanzierung!$B$6/100/12)+$H$3</f>
        <v>12861.350577373831</v>
      </c>
      <c r="S16" s="22">
        <f t="shared" si="0"/>
        <v>1.0833333333333333</v>
      </c>
      <c r="T16" s="19">
        <f t="shared" si="1"/>
        <v>-785978.11434030498</v>
      </c>
      <c r="U16" s="19">
        <f t="shared" si="2"/>
        <v>-785729.57769978791</v>
      </c>
    </row>
    <row r="17" spans="1:21" x14ac:dyDescent="0.2">
      <c r="A17">
        <v>14</v>
      </c>
      <c r="B17" s="19">
        <f>Finanzierung!$B$5</f>
        <v>3200.0000000000005</v>
      </c>
      <c r="C17" s="19">
        <f t="shared" si="3"/>
        <v>784874.0559785458</v>
      </c>
      <c r="D17" s="19">
        <f>C17*Finanzierung!$B$3/100/12</f>
        <v>2092.9974826094553</v>
      </c>
      <c r="E17" s="19">
        <f t="shared" si="7"/>
        <v>1107.0025173905451</v>
      </c>
      <c r="J17">
        <v>14</v>
      </c>
      <c r="K17" s="19">
        <f t="shared" si="4"/>
        <v>2240</v>
      </c>
      <c r="L17" s="19">
        <f t="shared" si="5"/>
        <v>798480.50408590084</v>
      </c>
      <c r="M17" s="19">
        <f>L17*Finanzierung!$B$3/100/12</f>
        <v>2129.281344229069</v>
      </c>
      <c r="N17" s="19">
        <f t="shared" si="6"/>
        <v>110.71865577093104</v>
      </c>
      <c r="O17">
        <f>O16*(1+Finanzierung!$B$6/100/12)+$H$3</f>
        <v>13885.657330260698</v>
      </c>
      <c r="S17" s="22">
        <f t="shared" si="0"/>
        <v>1.1666666666666667</v>
      </c>
      <c r="T17" s="19">
        <f t="shared" si="1"/>
        <v>-784874.0559785458</v>
      </c>
      <c r="U17" s="19">
        <f t="shared" si="2"/>
        <v>-784594.84675564012</v>
      </c>
    </row>
    <row r="18" spans="1:21" x14ac:dyDescent="0.2">
      <c r="A18">
        <v>15</v>
      </c>
      <c r="B18" s="19">
        <f>Finanzierung!$B$5</f>
        <v>3200.0000000000005</v>
      </c>
      <c r="C18" s="19">
        <f t="shared" si="3"/>
        <v>783767.05346115527</v>
      </c>
      <c r="D18" s="19">
        <f>C18*Finanzierung!$B$3/100/12</f>
        <v>2090.0454758964142</v>
      </c>
      <c r="E18" s="19">
        <f t="shared" si="7"/>
        <v>1109.9545241035862</v>
      </c>
      <c r="J18">
        <v>15</v>
      </c>
      <c r="K18" s="19">
        <f t="shared" si="4"/>
        <v>2240</v>
      </c>
      <c r="L18" s="19">
        <f t="shared" si="5"/>
        <v>798369.78543012997</v>
      </c>
      <c r="M18" s="19">
        <f>L18*Finanzierung!$B$3/100/12</f>
        <v>2128.9860944803468</v>
      </c>
      <c r="N18" s="19">
        <f t="shared" si="6"/>
        <v>111.01390551965324</v>
      </c>
      <c r="O18">
        <f>O17*(1+Finanzierung!$B$6/100/12)+$H$3</f>
        <v>14915.085616912</v>
      </c>
      <c r="S18" s="22">
        <f t="shared" si="0"/>
        <v>1.25</v>
      </c>
      <c r="T18" s="19">
        <f t="shared" si="1"/>
        <v>-783767.05346115527</v>
      </c>
      <c r="U18" s="19">
        <f t="shared" si="2"/>
        <v>-783454.69981321797</v>
      </c>
    </row>
    <row r="19" spans="1:21" x14ac:dyDescent="0.2">
      <c r="A19">
        <v>16</v>
      </c>
      <c r="B19" s="19">
        <f>Finanzierung!$B$5</f>
        <v>3200.0000000000005</v>
      </c>
      <c r="C19" s="19">
        <f t="shared" si="3"/>
        <v>782657.09893705172</v>
      </c>
      <c r="D19" s="19">
        <f>C19*Finanzierung!$B$3/100/12</f>
        <v>2087.0855971654714</v>
      </c>
      <c r="E19" s="19">
        <f t="shared" si="7"/>
        <v>1112.914402834529</v>
      </c>
      <c r="J19">
        <v>16</v>
      </c>
      <c r="K19" s="19">
        <f t="shared" si="4"/>
        <v>2240</v>
      </c>
      <c r="L19" s="19">
        <f t="shared" si="5"/>
        <v>798258.77152461035</v>
      </c>
      <c r="M19" s="19">
        <f>L19*Finanzierung!$B$3/100/12</f>
        <v>2128.690057398961</v>
      </c>
      <c r="N19" s="19">
        <f t="shared" si="6"/>
        <v>111.30994260103898</v>
      </c>
      <c r="O19">
        <f>O18*(1+Finanzierung!$B$6/100/12)+$H$3</f>
        <v>15949.661044996557</v>
      </c>
      <c r="S19" s="22">
        <f t="shared" si="0"/>
        <v>1.3333333333333333</v>
      </c>
      <c r="T19" s="19">
        <f t="shared" si="1"/>
        <v>-782657.09893705172</v>
      </c>
      <c r="U19" s="19">
        <f t="shared" si="2"/>
        <v>-782309.11047961377</v>
      </c>
    </row>
    <row r="20" spans="1:21" x14ac:dyDescent="0.2">
      <c r="A20">
        <v>17</v>
      </c>
      <c r="B20" s="19">
        <f>Finanzierung!$B$5</f>
        <v>3200.0000000000005</v>
      </c>
      <c r="C20" s="19">
        <f t="shared" si="3"/>
        <v>781544.18453421723</v>
      </c>
      <c r="D20" s="19">
        <f>C20*Finanzierung!$B$3/100/12</f>
        <v>2084.1178254245792</v>
      </c>
      <c r="E20" s="19">
        <f t="shared" si="7"/>
        <v>1115.8821745754212</v>
      </c>
      <c r="J20">
        <v>17</v>
      </c>
      <c r="K20" s="19">
        <f t="shared" si="4"/>
        <v>2240</v>
      </c>
      <c r="L20" s="19">
        <f t="shared" si="5"/>
        <v>798147.46158200933</v>
      </c>
      <c r="M20" s="19">
        <f>L20*Finanzierung!$B$3/100/12</f>
        <v>2128.3932308853587</v>
      </c>
      <c r="N20" s="19">
        <f t="shared" si="6"/>
        <v>111.60676911464134</v>
      </c>
      <c r="O20">
        <f>O19*(1+Finanzierung!$B$6/100/12)+$H$3</f>
        <v>16989.40935022154</v>
      </c>
      <c r="S20" s="22">
        <f t="shared" si="0"/>
        <v>1.4166666666666667</v>
      </c>
      <c r="T20" s="19">
        <f t="shared" si="1"/>
        <v>-781544.18453421723</v>
      </c>
      <c r="U20" s="19">
        <f t="shared" si="2"/>
        <v>-781158.05223178782</v>
      </c>
    </row>
    <row r="21" spans="1:21" x14ac:dyDescent="0.2">
      <c r="A21">
        <v>18</v>
      </c>
      <c r="B21" s="19">
        <f>Finanzierung!$B$5</f>
        <v>3200.0000000000005</v>
      </c>
      <c r="C21" s="19">
        <f t="shared" si="3"/>
        <v>780428.30235964176</v>
      </c>
      <c r="D21" s="19">
        <f>C21*Finanzierung!$B$3/100/12</f>
        <v>2081.1421396257115</v>
      </c>
      <c r="E21" s="19">
        <f t="shared" si="7"/>
        <v>1118.857860374289</v>
      </c>
      <c r="J21">
        <v>18</v>
      </c>
      <c r="K21" s="19">
        <f t="shared" si="4"/>
        <v>2240</v>
      </c>
      <c r="L21" s="19">
        <f t="shared" si="5"/>
        <v>798035.85481289471</v>
      </c>
      <c r="M21" s="19">
        <f>L21*Finanzierung!$B$3/100/12</f>
        <v>2128.0956128343864</v>
      </c>
      <c r="N21" s="19">
        <f t="shared" si="6"/>
        <v>111.90438716561357</v>
      </c>
      <c r="O21">
        <f>O20*(1+Finanzierung!$B$6/100/12)+$H$3</f>
        <v>18034.356396972646</v>
      </c>
      <c r="S21" s="22">
        <f t="shared" si="0"/>
        <v>1.5</v>
      </c>
      <c r="T21" s="19">
        <f t="shared" si="1"/>
        <v>-780428.30235964176</v>
      </c>
      <c r="U21" s="19">
        <f t="shared" si="2"/>
        <v>-780001.49841592205</v>
      </c>
    </row>
    <row r="22" spans="1:21" x14ac:dyDescent="0.2">
      <c r="A22">
        <v>19</v>
      </c>
      <c r="B22" s="19">
        <f>Finanzierung!$B$5</f>
        <v>3200.0000000000005</v>
      </c>
      <c r="C22" s="19">
        <f t="shared" si="3"/>
        <v>779309.4444992675</v>
      </c>
      <c r="D22" s="19">
        <f>C22*Finanzierung!$B$3/100/12</f>
        <v>2078.1585186647135</v>
      </c>
      <c r="E22" s="19">
        <f t="shared" si="7"/>
        <v>1121.841481335287</v>
      </c>
      <c r="J22">
        <v>19</v>
      </c>
      <c r="K22" s="19">
        <f t="shared" si="4"/>
        <v>2240</v>
      </c>
      <c r="L22" s="19">
        <f t="shared" si="5"/>
        <v>797923.95042572916</v>
      </c>
      <c r="M22" s="19">
        <f>L22*Finanzierung!$B$3/100/12</f>
        <v>2127.7972011352781</v>
      </c>
      <c r="N22" s="19">
        <f t="shared" si="6"/>
        <v>112.2027988647219</v>
      </c>
      <c r="O22">
        <f>O21*(1+Finanzierung!$B$6/100/12)+$H$3</f>
        <v>19084.528178957506</v>
      </c>
      <c r="S22" s="22">
        <f t="shared" si="0"/>
        <v>1.5833333333333333</v>
      </c>
      <c r="T22" s="19">
        <f t="shared" si="1"/>
        <v>-779309.4444992675</v>
      </c>
      <c r="U22" s="19">
        <f t="shared" si="2"/>
        <v>-778839.42224677163</v>
      </c>
    </row>
    <row r="23" spans="1:21" x14ac:dyDescent="0.2">
      <c r="A23">
        <v>20</v>
      </c>
      <c r="B23" s="19">
        <f>Finanzierung!$B$5</f>
        <v>3200.0000000000005</v>
      </c>
      <c r="C23" s="19">
        <f t="shared" si="3"/>
        <v>778187.60301793215</v>
      </c>
      <c r="D23" s="19">
        <f>C23*Finanzierung!$B$3/100/12</f>
        <v>2075.1669413811524</v>
      </c>
      <c r="E23" s="19">
        <f t="shared" si="7"/>
        <v>1124.8330586188481</v>
      </c>
      <c r="J23">
        <v>20</v>
      </c>
      <c r="K23" s="19">
        <f t="shared" si="4"/>
        <v>2240</v>
      </c>
      <c r="L23" s="19">
        <f t="shared" si="5"/>
        <v>797811.74762686447</v>
      </c>
      <c r="M23" s="19">
        <f>L23*Finanzierung!$B$3/100/12</f>
        <v>2127.4979936716386</v>
      </c>
      <c r="N23" s="19">
        <f t="shared" si="6"/>
        <v>112.5020063283614</v>
      </c>
      <c r="O23">
        <f>O22*(1+Finanzierung!$B$6/100/12)+$H$3</f>
        <v>20139.950819852293</v>
      </c>
      <c r="S23" s="22">
        <f t="shared" si="0"/>
        <v>1.6666666666666667</v>
      </c>
      <c r="T23" s="19">
        <f t="shared" si="1"/>
        <v>-778187.60301793215</v>
      </c>
      <c r="U23" s="19">
        <f t="shared" si="2"/>
        <v>-777671.79680701217</v>
      </c>
    </row>
    <row r="24" spans="1:21" x14ac:dyDescent="0.2">
      <c r="A24">
        <v>21</v>
      </c>
      <c r="B24" s="19">
        <f>Finanzierung!$B$5</f>
        <v>3200.0000000000005</v>
      </c>
      <c r="C24" s="19">
        <f t="shared" si="3"/>
        <v>777062.76995931333</v>
      </c>
      <c r="D24" s="19">
        <f>C24*Finanzierung!$B$3/100/12</f>
        <v>2072.1673865581688</v>
      </c>
      <c r="E24" s="19">
        <f t="shared" si="7"/>
        <v>1127.8326134418317</v>
      </c>
      <c r="J24">
        <v>21</v>
      </c>
      <c r="K24" s="19">
        <f t="shared" si="4"/>
        <v>2240</v>
      </c>
      <c r="L24" s="19">
        <f t="shared" si="5"/>
        <v>797699.24562053615</v>
      </c>
      <c r="M24" s="19">
        <f>L24*Finanzierung!$B$3/100/12</f>
        <v>2127.1979883214299</v>
      </c>
      <c r="N24" s="19">
        <f t="shared" si="6"/>
        <v>112.80201167857012</v>
      </c>
      <c r="O24">
        <f>O23*(1+Finanzierung!$B$6/100/12)+$H$3</f>
        <v>21200.650573951552</v>
      </c>
      <c r="S24" s="22">
        <f t="shared" si="0"/>
        <v>1.75</v>
      </c>
      <c r="T24" s="19">
        <f t="shared" si="1"/>
        <v>-777062.76995931333</v>
      </c>
      <c r="U24" s="19">
        <f t="shared" si="2"/>
        <v>-776498.59504658461</v>
      </c>
    </row>
    <row r="25" spans="1:21" x14ac:dyDescent="0.2">
      <c r="A25">
        <v>22</v>
      </c>
      <c r="B25" s="19">
        <f>Finanzierung!$B$5</f>
        <v>3200.0000000000005</v>
      </c>
      <c r="C25" s="19">
        <f t="shared" si="3"/>
        <v>775934.93734587147</v>
      </c>
      <c r="D25" s="19">
        <f>C25*Finanzierung!$B$3/100/12</f>
        <v>2069.1598329223239</v>
      </c>
      <c r="E25" s="19">
        <f t="shared" si="7"/>
        <v>1130.8401670776766</v>
      </c>
      <c r="J25">
        <v>22</v>
      </c>
      <c r="K25" s="19">
        <f t="shared" si="4"/>
        <v>2240</v>
      </c>
      <c r="L25" s="19">
        <f t="shared" si="5"/>
        <v>797586.44360885757</v>
      </c>
      <c r="M25" s="19">
        <f>L25*Finanzierung!$B$3/100/12</f>
        <v>2126.8971829569537</v>
      </c>
      <c r="N25" s="19">
        <f t="shared" si="6"/>
        <v>113.10281704304634</v>
      </c>
      <c r="O25">
        <f>O24*(1+Finanzierung!$B$6/100/12)+$H$3</f>
        <v>22266.653826821308</v>
      </c>
      <c r="S25" s="22">
        <f t="shared" si="0"/>
        <v>1.8333333333333333</v>
      </c>
      <c r="T25" s="19">
        <f t="shared" si="1"/>
        <v>-775934.93734587147</v>
      </c>
      <c r="U25" s="19">
        <f t="shared" si="2"/>
        <v>-775319.78978203621</v>
      </c>
    </row>
    <row r="26" spans="1:21" x14ac:dyDescent="0.2">
      <c r="A26">
        <v>23</v>
      </c>
      <c r="B26" s="19">
        <f>Finanzierung!$B$5</f>
        <v>3200.0000000000005</v>
      </c>
      <c r="C26" s="19">
        <f t="shared" si="3"/>
        <v>774804.09717879375</v>
      </c>
      <c r="D26" s="19">
        <f>C26*Finanzierung!$B$3/100/12</f>
        <v>2066.1442591434502</v>
      </c>
      <c r="E26" s="19">
        <f t="shared" si="7"/>
        <v>1133.8557408565503</v>
      </c>
      <c r="J26">
        <v>23</v>
      </c>
      <c r="K26" s="19">
        <f t="shared" si="4"/>
        <v>2240</v>
      </c>
      <c r="L26" s="19">
        <f t="shared" si="5"/>
        <v>797473.34079181449</v>
      </c>
      <c r="M26" s="19">
        <f>L26*Finanzierung!$B$3/100/12</f>
        <v>2126.5955754448387</v>
      </c>
      <c r="N26" s="19">
        <f t="shared" si="6"/>
        <v>113.40442455516131</v>
      </c>
      <c r="O26">
        <f>O25*(1+Finanzierung!$B$6/100/12)+$H$3</f>
        <v>23337.987095955414</v>
      </c>
      <c r="S26" s="22">
        <f t="shared" si="0"/>
        <v>1.9166666666666667</v>
      </c>
      <c r="T26" s="19">
        <f t="shared" si="1"/>
        <v>-774804.09717879375</v>
      </c>
      <c r="U26" s="19">
        <f t="shared" si="2"/>
        <v>-774135.35369585908</v>
      </c>
    </row>
    <row r="27" spans="1:21" x14ac:dyDescent="0.2">
      <c r="A27">
        <v>24</v>
      </c>
      <c r="B27" s="19">
        <f>Finanzierung!$B$5</f>
        <v>3200.0000000000005</v>
      </c>
      <c r="C27" s="19">
        <f t="shared" si="3"/>
        <v>773670.24143793725</v>
      </c>
      <c r="D27" s="19">
        <f>C27*Finanzierung!$B$3/100/12</f>
        <v>2063.1206438344993</v>
      </c>
      <c r="E27" s="19">
        <f t="shared" si="7"/>
        <v>1136.8793561655011</v>
      </c>
      <c r="J27">
        <v>24</v>
      </c>
      <c r="K27" s="19">
        <f t="shared" si="4"/>
        <v>2240</v>
      </c>
      <c r="L27" s="19">
        <f t="shared" si="5"/>
        <v>797359.93636725936</v>
      </c>
      <c r="M27" s="19">
        <f>L27*Finanzierung!$B$3/100/12</f>
        <v>2126.2931636460248</v>
      </c>
      <c r="N27" s="19">
        <f t="shared" si="6"/>
        <v>113.70683635397518</v>
      </c>
      <c r="O27">
        <f>O26*(1+Finanzierung!$B$6/100/12)+$H$3</f>
        <v>24414.677031435189</v>
      </c>
      <c r="S27" s="22">
        <f t="shared" si="0"/>
        <v>2</v>
      </c>
      <c r="T27" s="19">
        <f t="shared" si="1"/>
        <v>-773670.24143793725</v>
      </c>
      <c r="U27" s="19">
        <f t="shared" si="2"/>
        <v>-772945.25933582417</v>
      </c>
    </row>
    <row r="28" spans="1:21" x14ac:dyDescent="0.2">
      <c r="A28">
        <v>25</v>
      </c>
      <c r="B28" s="19">
        <f>Finanzierung!$B$5</f>
        <v>3200.0000000000005</v>
      </c>
      <c r="C28" s="19">
        <f t="shared" si="3"/>
        <v>772533.36208177172</v>
      </c>
      <c r="D28" s="19">
        <f>C28*Finanzierung!$B$3/100/12</f>
        <v>2060.0889655513915</v>
      </c>
      <c r="E28" s="19">
        <f t="shared" si="7"/>
        <v>1139.9110344486089</v>
      </c>
      <c r="J28">
        <v>25</v>
      </c>
      <c r="K28" s="19">
        <f t="shared" si="4"/>
        <v>2240</v>
      </c>
      <c r="L28" s="19">
        <f t="shared" si="5"/>
        <v>797246.22953090537</v>
      </c>
      <c r="M28" s="19">
        <f>L28*Finanzierung!$B$3/100/12</f>
        <v>2125.989945415748</v>
      </c>
      <c r="N28" s="19">
        <f t="shared" si="6"/>
        <v>114.01005458425198</v>
      </c>
      <c r="O28">
        <f>O27*(1+Finanzierung!$B$6/100/12)+$H$3</f>
        <v>25496.750416592364</v>
      </c>
      <c r="S28" s="22">
        <f t="shared" si="0"/>
        <v>2.0833333333333335</v>
      </c>
      <c r="T28" s="19">
        <f t="shared" si="1"/>
        <v>-772533.36208177172</v>
      </c>
      <c r="U28" s="19">
        <f t="shared" si="2"/>
        <v>-771749.47911431303</v>
      </c>
    </row>
    <row r="29" spans="1:21" x14ac:dyDescent="0.2">
      <c r="A29">
        <v>26</v>
      </c>
      <c r="B29" s="19">
        <f>Finanzierung!$B$5</f>
        <v>3200.0000000000005</v>
      </c>
      <c r="C29" s="19">
        <f t="shared" si="3"/>
        <v>771393.45104732306</v>
      </c>
      <c r="D29" s="19">
        <f>C29*Finanzierung!$B$3/100/12</f>
        <v>2057.0492027928617</v>
      </c>
      <c r="E29" s="19">
        <f t="shared" si="7"/>
        <v>1142.9507972071387</v>
      </c>
      <c r="J29">
        <v>26</v>
      </c>
      <c r="K29" s="19">
        <f t="shared" si="4"/>
        <v>2240</v>
      </c>
      <c r="L29" s="19">
        <f t="shared" si="5"/>
        <v>797132.21947632113</v>
      </c>
      <c r="M29" s="19">
        <f>L29*Finanzierung!$B$3/100/12</f>
        <v>2125.6859186035231</v>
      </c>
      <c r="N29" s="19">
        <f t="shared" si="6"/>
        <v>114.31408139647692</v>
      </c>
      <c r="O29">
        <f>O28*(1+Finanzierung!$B$6/100/12)+$H$3</f>
        <v>26584.234168675324</v>
      </c>
      <c r="S29" s="22">
        <f t="shared" si="0"/>
        <v>2.1666666666666665</v>
      </c>
      <c r="T29" s="19">
        <f t="shared" si="1"/>
        <v>-771393.45104732306</v>
      </c>
      <c r="U29" s="19">
        <f t="shared" si="2"/>
        <v>-770547.98530764575</v>
      </c>
    </row>
    <row r="30" spans="1:21" x14ac:dyDescent="0.2">
      <c r="A30">
        <v>27</v>
      </c>
      <c r="B30" s="19">
        <f>Finanzierung!$B$5</f>
        <v>3200.0000000000005</v>
      </c>
      <c r="C30" s="19">
        <f t="shared" si="3"/>
        <v>770250.50025011587</v>
      </c>
      <c r="D30" s="19">
        <f>C30*Finanzierung!$B$3/100/12</f>
        <v>2054.0013340003093</v>
      </c>
      <c r="E30" s="19">
        <f t="shared" si="7"/>
        <v>1145.9986659996912</v>
      </c>
      <c r="J30">
        <v>27</v>
      </c>
      <c r="K30" s="19">
        <f t="shared" si="4"/>
        <v>2240</v>
      </c>
      <c r="L30" s="19">
        <f t="shared" si="5"/>
        <v>797017.90539492469</v>
      </c>
      <c r="M30" s="19">
        <f>L30*Finanzierung!$B$3/100/12</f>
        <v>2125.3810810531327</v>
      </c>
      <c r="N30" s="19">
        <f t="shared" si="6"/>
        <v>114.61891894686732</v>
      </c>
      <c r="O30">
        <f>O29*(1+Finanzierung!$B$6/100/12)+$H$3</f>
        <v>27677.155339518697</v>
      </c>
      <c r="S30" s="22">
        <f t="shared" si="0"/>
        <v>2.25</v>
      </c>
      <c r="T30" s="19">
        <f t="shared" si="1"/>
        <v>-770250.50025011587</v>
      </c>
      <c r="U30" s="19">
        <f t="shared" si="2"/>
        <v>-769340.75005540601</v>
      </c>
    </row>
    <row r="31" spans="1:21" x14ac:dyDescent="0.2">
      <c r="A31">
        <v>28</v>
      </c>
      <c r="B31" s="19">
        <f>Finanzierung!$B$5</f>
        <v>3200.0000000000005</v>
      </c>
      <c r="C31" s="19">
        <f t="shared" si="3"/>
        <v>769104.50158411614</v>
      </c>
      <c r="D31" s="19">
        <f>C31*Finanzierung!$B$3/100/12</f>
        <v>2050.9453375576431</v>
      </c>
      <c r="E31" s="19">
        <f t="shared" si="7"/>
        <v>1149.0546624423573</v>
      </c>
      <c r="J31">
        <v>28</v>
      </c>
      <c r="K31" s="19">
        <f t="shared" si="4"/>
        <v>2240</v>
      </c>
      <c r="L31" s="19">
        <f t="shared" si="5"/>
        <v>796903.28647597786</v>
      </c>
      <c r="M31" s="19">
        <f>L31*Finanzierung!$B$3/100/12</f>
        <v>2125.0754306026079</v>
      </c>
      <c r="N31" s="19">
        <f t="shared" si="6"/>
        <v>114.92456939739213</v>
      </c>
      <c r="O31">
        <f>O30*(1+Finanzierung!$B$6/100/12)+$H$3</f>
        <v>28775.541116216285</v>
      </c>
      <c r="S31" s="22">
        <f t="shared" si="0"/>
        <v>2.3333333333333335</v>
      </c>
      <c r="T31" s="19">
        <f t="shared" si="1"/>
        <v>-769104.50158411614</v>
      </c>
      <c r="U31" s="19">
        <f t="shared" si="2"/>
        <v>-768127.74535976152</v>
      </c>
    </row>
    <row r="32" spans="1:21" x14ac:dyDescent="0.2">
      <c r="A32">
        <v>29</v>
      </c>
      <c r="B32" s="19">
        <f>Finanzierung!$B$5</f>
        <v>3200.0000000000005</v>
      </c>
      <c r="C32" s="19">
        <f t="shared" si="3"/>
        <v>767955.44692167384</v>
      </c>
      <c r="D32" s="19">
        <f>C32*Finanzierung!$B$3/100/12</f>
        <v>2047.8811917911305</v>
      </c>
      <c r="E32" s="19">
        <f t="shared" si="7"/>
        <v>1152.11880820887</v>
      </c>
      <c r="J32">
        <v>29</v>
      </c>
      <c r="K32" s="19">
        <f t="shared" si="4"/>
        <v>2240</v>
      </c>
      <c r="L32" s="19">
        <f t="shared" si="5"/>
        <v>796788.36190658051</v>
      </c>
      <c r="M32" s="19">
        <f>L32*Finanzierung!$B$3/100/12</f>
        <v>2124.7689650842149</v>
      </c>
      <c r="N32" s="19">
        <f t="shared" si="6"/>
        <v>115.23103491578513</v>
      </c>
      <c r="O32">
        <f>O31*(1+Finanzierung!$B$6/100/12)+$H$3</f>
        <v>29879.418821797364</v>
      </c>
      <c r="S32" s="22">
        <f t="shared" si="0"/>
        <v>2.4166666666666665</v>
      </c>
      <c r="T32" s="19">
        <f t="shared" si="1"/>
        <v>-767955.44692167384</v>
      </c>
      <c r="U32" s="19">
        <f t="shared" si="2"/>
        <v>-766908.94308478315</v>
      </c>
    </row>
    <row r="33" spans="1:21" x14ac:dyDescent="0.2">
      <c r="A33">
        <v>30</v>
      </c>
      <c r="B33" s="19">
        <f>Finanzierung!$B$5</f>
        <v>3200.0000000000005</v>
      </c>
      <c r="C33" s="19">
        <f t="shared" si="3"/>
        <v>766803.32811346499</v>
      </c>
      <c r="D33" s="19">
        <f>C33*Finanzierung!$B$3/100/12</f>
        <v>2044.8088749692399</v>
      </c>
      <c r="E33" s="19">
        <f t="shared" si="7"/>
        <v>1155.1911250307605</v>
      </c>
      <c r="J33">
        <v>30</v>
      </c>
      <c r="K33" s="19">
        <f t="shared" si="4"/>
        <v>2240</v>
      </c>
      <c r="L33" s="19">
        <f t="shared" si="5"/>
        <v>796673.13087166473</v>
      </c>
      <c r="M33" s="19">
        <f>L33*Finanzierung!$B$3/100/12</f>
        <v>2124.4616823244392</v>
      </c>
      <c r="N33" s="19">
        <f t="shared" si="6"/>
        <v>115.53831767556085</v>
      </c>
      <c r="O33">
        <f>O32*(1+Finanzierung!$B$6/100/12)+$H$3</f>
        <v>30988.815915906347</v>
      </c>
      <c r="S33" s="22">
        <f t="shared" si="0"/>
        <v>2.5</v>
      </c>
      <c r="T33" s="19">
        <f t="shared" si="1"/>
        <v>-766803.32811346499</v>
      </c>
      <c r="U33" s="19">
        <f t="shared" si="2"/>
        <v>-765684.3149557584</v>
      </c>
    </row>
    <row r="34" spans="1:21" x14ac:dyDescent="0.2">
      <c r="A34">
        <v>31</v>
      </c>
      <c r="B34" s="19">
        <f>Finanzierung!$B$5</f>
        <v>3200.0000000000005</v>
      </c>
      <c r="C34" s="19">
        <f t="shared" si="3"/>
        <v>765648.13698843424</v>
      </c>
      <c r="D34" s="19">
        <f>C34*Finanzierung!$B$3/100/12</f>
        <v>2041.7283653024915</v>
      </c>
      <c r="E34" s="19">
        <f t="shared" si="7"/>
        <v>1158.2716346975089</v>
      </c>
      <c r="J34">
        <v>31</v>
      </c>
      <c r="K34" s="19">
        <f t="shared" si="4"/>
        <v>2240</v>
      </c>
      <c r="L34" s="19">
        <f t="shared" si="5"/>
        <v>796557.59255398915</v>
      </c>
      <c r="M34" s="19">
        <f>L34*Finanzierung!$B$3/100/12</f>
        <v>2124.1535801439713</v>
      </c>
      <c r="N34" s="19">
        <f t="shared" si="6"/>
        <v>115.84641985602866</v>
      </c>
      <c r="O34">
        <f>O33*(1+Finanzierung!$B$6/100/12)+$H$3</f>
        <v>32103.759995485874</v>
      </c>
      <c r="S34" s="22">
        <f t="shared" si="0"/>
        <v>2.5833333333333335</v>
      </c>
      <c r="T34" s="19">
        <f t="shared" si="1"/>
        <v>-765648.13698843424</v>
      </c>
      <c r="U34" s="19">
        <f t="shared" si="2"/>
        <v>-764453.83255850326</v>
      </c>
    </row>
    <row r="35" spans="1:21" x14ac:dyDescent="0.2">
      <c r="A35">
        <v>32</v>
      </c>
      <c r="B35" s="19">
        <f>Finanzierung!$B$5</f>
        <v>3200.0000000000005</v>
      </c>
      <c r="C35" s="19">
        <f t="shared" si="3"/>
        <v>764489.86535373668</v>
      </c>
      <c r="D35" s="19">
        <f>C35*Finanzierung!$B$3/100/12</f>
        <v>2038.639640943298</v>
      </c>
      <c r="E35" s="19">
        <f t="shared" si="7"/>
        <v>1161.3603590567025</v>
      </c>
      <c r="J35">
        <v>32</v>
      </c>
      <c r="K35" s="19">
        <f t="shared" si="4"/>
        <v>2240</v>
      </c>
      <c r="L35" s="19">
        <f t="shared" si="5"/>
        <v>796441.74613413308</v>
      </c>
      <c r="M35" s="19">
        <f>L35*Finanzierung!$B$3/100/12</f>
        <v>2123.8446563576886</v>
      </c>
      <c r="N35" s="19">
        <f t="shared" si="6"/>
        <v>116.15534364231144</v>
      </c>
      <c r="O35">
        <f>O34*(1+Finanzierung!$B$6/100/12)+$H$3</f>
        <v>33224.278795463302</v>
      </c>
      <c r="S35" s="22">
        <f t="shared" si="0"/>
        <v>2.6666666666666665</v>
      </c>
      <c r="T35" s="19">
        <f t="shared" si="1"/>
        <v>-764489.86535373668</v>
      </c>
      <c r="U35" s="19">
        <f t="shared" si="2"/>
        <v>-763217.46733866981</v>
      </c>
    </row>
    <row r="36" spans="1:21" x14ac:dyDescent="0.2">
      <c r="A36">
        <v>33</v>
      </c>
      <c r="B36" s="19">
        <f>Finanzierung!$B$5</f>
        <v>3200.0000000000005</v>
      </c>
      <c r="C36" s="19">
        <f t="shared" si="3"/>
        <v>763328.50499467994</v>
      </c>
      <c r="D36" s="19">
        <f>C36*Finanzierung!$B$3/100/12</f>
        <v>2035.5426799858133</v>
      </c>
      <c r="E36" s="19">
        <f t="shared" si="7"/>
        <v>1164.4573200141872</v>
      </c>
      <c r="J36">
        <v>33</v>
      </c>
      <c r="K36" s="19">
        <f t="shared" si="4"/>
        <v>2240</v>
      </c>
      <c r="L36" s="19">
        <f t="shared" si="5"/>
        <v>796325.59079049074</v>
      </c>
      <c r="M36" s="19">
        <f>L36*Finanzierung!$B$3/100/12</f>
        <v>2123.5349087746422</v>
      </c>
      <c r="N36" s="19">
        <f t="shared" si="6"/>
        <v>116.46509122535781</v>
      </c>
      <c r="O36">
        <f>O35*(1+Finanzierung!$B$6/100/12)+$H$3</f>
        <v>34350.400189440617</v>
      </c>
      <c r="S36" s="22">
        <f t="shared" si="0"/>
        <v>2.75</v>
      </c>
      <c r="T36" s="19">
        <f t="shared" si="1"/>
        <v>-763328.50499467994</v>
      </c>
      <c r="U36" s="19">
        <f t="shared" si="2"/>
        <v>-761975.19060105016</v>
      </c>
    </row>
    <row r="37" spans="1:21" x14ac:dyDescent="0.2">
      <c r="A37">
        <v>34</v>
      </c>
      <c r="B37" s="19">
        <f>Finanzierung!$B$5</f>
        <v>3200.0000000000005</v>
      </c>
      <c r="C37" s="19">
        <f t="shared" si="3"/>
        <v>762164.04767466581</v>
      </c>
      <c r="D37" s="19">
        <f>C37*Finanzierung!$B$3/100/12</f>
        <v>2032.4374604657753</v>
      </c>
      <c r="E37" s="19">
        <f t="shared" si="7"/>
        <v>1167.5625395342252</v>
      </c>
      <c r="J37">
        <v>34</v>
      </c>
      <c r="K37" s="19">
        <f t="shared" si="4"/>
        <v>2240</v>
      </c>
      <c r="L37" s="19">
        <f t="shared" si="5"/>
        <v>796209.12569926539</v>
      </c>
      <c r="M37" s="19">
        <f>L37*Finanzierung!$B$3/100/12</f>
        <v>2123.224335198041</v>
      </c>
      <c r="N37" s="19">
        <f t="shared" si="6"/>
        <v>116.77566480195901</v>
      </c>
      <c r="O37">
        <f>O36*(1+Finanzierung!$B$6/100/12)+$H$3</f>
        <v>35482.152190387817</v>
      </c>
      <c r="S37" s="22">
        <f t="shared" si="0"/>
        <v>2.8333333333333335</v>
      </c>
      <c r="T37" s="19">
        <f t="shared" si="1"/>
        <v>-762164.04767466581</v>
      </c>
      <c r="U37" s="19">
        <f t="shared" si="2"/>
        <v>-760726.97350887756</v>
      </c>
    </row>
    <row r="38" spans="1:21" x14ac:dyDescent="0.2">
      <c r="A38">
        <v>35</v>
      </c>
      <c r="B38" s="19">
        <f>Finanzierung!$B$5</f>
        <v>3200.0000000000005</v>
      </c>
      <c r="C38" s="19">
        <f t="shared" si="3"/>
        <v>760996.48513513163</v>
      </c>
      <c r="D38" s="19">
        <f>C38*Finanzierung!$B$3/100/12</f>
        <v>2029.3239603603513</v>
      </c>
      <c r="E38" s="19">
        <f t="shared" si="7"/>
        <v>1170.6760396396492</v>
      </c>
      <c r="J38">
        <v>35</v>
      </c>
      <c r="K38" s="19">
        <f t="shared" si="4"/>
        <v>2240</v>
      </c>
      <c r="L38" s="19">
        <f t="shared" si="5"/>
        <v>796092.35003446345</v>
      </c>
      <c r="M38" s="19">
        <f>L38*Finanzierung!$B$3/100/12</f>
        <v>2122.9129334252361</v>
      </c>
      <c r="N38" s="19">
        <f t="shared" si="6"/>
        <v>117.08706657476387</v>
      </c>
      <c r="O38">
        <f>O37*(1+Finanzierung!$B$6/100/12)+$H$3</f>
        <v>36619.562951339751</v>
      </c>
      <c r="S38" s="22">
        <f t="shared" si="0"/>
        <v>2.9166666666666665</v>
      </c>
      <c r="T38" s="19">
        <f t="shared" si="1"/>
        <v>-760996.48513513163</v>
      </c>
      <c r="U38" s="19">
        <f t="shared" si="2"/>
        <v>-759472.78708312369</v>
      </c>
    </row>
    <row r="39" spans="1:21" x14ac:dyDescent="0.2">
      <c r="A39">
        <v>36</v>
      </c>
      <c r="B39" s="19">
        <f>Finanzierung!$B$5</f>
        <v>3200.0000000000005</v>
      </c>
      <c r="C39" s="19">
        <f t="shared" si="3"/>
        <v>759825.809095492</v>
      </c>
      <c r="D39" s="19">
        <f>C39*Finanzierung!$B$3/100/12</f>
        <v>2026.2021575879787</v>
      </c>
      <c r="E39" s="19">
        <f t="shared" si="7"/>
        <v>1173.7978424120217</v>
      </c>
      <c r="J39">
        <v>36</v>
      </c>
      <c r="K39" s="19">
        <f t="shared" si="4"/>
        <v>2240</v>
      </c>
      <c r="L39" s="19">
        <f t="shared" si="5"/>
        <v>795975.26296788873</v>
      </c>
      <c r="M39" s="19">
        <f>L39*Finanzierung!$B$3/100/12</f>
        <v>2122.6007012477035</v>
      </c>
      <c r="N39" s="19">
        <f t="shared" si="6"/>
        <v>117.39929875229654</v>
      </c>
      <c r="O39">
        <f>O38*(1+Finanzierung!$B$6/100/12)+$H$3</f>
        <v>37762.660766096444</v>
      </c>
      <c r="S39" s="22">
        <f t="shared" si="0"/>
        <v>3</v>
      </c>
      <c r="T39" s="19">
        <f t="shared" si="1"/>
        <v>-759825.809095492</v>
      </c>
      <c r="U39" s="19">
        <f t="shared" si="2"/>
        <v>-758212.6022017923</v>
      </c>
    </row>
    <row r="40" spans="1:21" x14ac:dyDescent="0.2">
      <c r="A40">
        <v>37</v>
      </c>
      <c r="B40" s="19">
        <f>Finanzierung!$B$5</f>
        <v>3200.0000000000005</v>
      </c>
      <c r="C40" s="19">
        <f t="shared" si="3"/>
        <v>758652.01125307998</v>
      </c>
      <c r="D40" s="19">
        <f>C40*Finanzierung!$B$3/100/12</f>
        <v>2023.0720300082132</v>
      </c>
      <c r="E40" s="19">
        <f t="shared" si="7"/>
        <v>1176.9279699917872</v>
      </c>
      <c r="J40">
        <v>37</v>
      </c>
      <c r="K40" s="19">
        <f t="shared" si="4"/>
        <v>2240</v>
      </c>
      <c r="L40" s="19">
        <f t="shared" si="5"/>
        <v>795857.86366913642</v>
      </c>
      <c r="M40" s="19">
        <f>L40*Finanzierung!$B$3/100/12</f>
        <v>2122.2876364510307</v>
      </c>
      <c r="N40" s="19">
        <f t="shared" si="6"/>
        <v>117.71236354896928</v>
      </c>
      <c r="O40">
        <f>O39*(1+Finanzierung!$B$6/100/12)+$H$3</f>
        <v>38911.474069926924</v>
      </c>
      <c r="S40" s="22">
        <f t="shared" si="0"/>
        <v>3.0833333333333335</v>
      </c>
      <c r="T40" s="19">
        <f t="shared" si="1"/>
        <v>-758652.01125307998</v>
      </c>
      <c r="U40" s="19">
        <f t="shared" si="2"/>
        <v>-756946.38959920953</v>
      </c>
    </row>
    <row r="41" spans="1:21" x14ac:dyDescent="0.2">
      <c r="A41">
        <v>38</v>
      </c>
      <c r="B41" s="19">
        <f>Finanzierung!$B$5</f>
        <v>3200.0000000000005</v>
      </c>
      <c r="C41" s="19">
        <f t="shared" si="3"/>
        <v>757475.08328308817</v>
      </c>
      <c r="D41" s="19">
        <f>C41*Finanzierung!$B$3/100/12</f>
        <v>2019.9335554215686</v>
      </c>
      <c r="E41" s="19">
        <f t="shared" si="7"/>
        <v>1180.0664445784319</v>
      </c>
      <c r="J41">
        <v>38</v>
      </c>
      <c r="K41" s="19">
        <f t="shared" si="4"/>
        <v>2240</v>
      </c>
      <c r="L41" s="19">
        <f t="shared" si="5"/>
        <v>795740.1513055875</v>
      </c>
      <c r="M41" s="19">
        <f>L41*Finanzierung!$B$3/100/12</f>
        <v>2121.9737368148999</v>
      </c>
      <c r="N41" s="19">
        <f t="shared" si="6"/>
        <v>118.02626318510011</v>
      </c>
      <c r="O41">
        <f>O40*(1+Finanzierung!$B$6/100/12)+$H$3</f>
        <v>40066.031440276558</v>
      </c>
      <c r="S41" s="22">
        <f t="shared" si="0"/>
        <v>3.1666666666666665</v>
      </c>
      <c r="T41" s="19">
        <f t="shared" si="1"/>
        <v>-757475.08328308817</v>
      </c>
      <c r="U41" s="19">
        <f t="shared" si="2"/>
        <v>-755674.11986531096</v>
      </c>
    </row>
    <row r="42" spans="1:21" x14ac:dyDescent="0.2">
      <c r="A42">
        <v>39</v>
      </c>
      <c r="B42" s="19">
        <f>Finanzierung!$B$5</f>
        <v>3200.0000000000005</v>
      </c>
      <c r="C42" s="19">
        <f t="shared" si="3"/>
        <v>756295.01683850971</v>
      </c>
      <c r="D42" s="19">
        <f>C42*Finanzierung!$B$3/100/12</f>
        <v>2016.7867115693596</v>
      </c>
      <c r="E42" s="19">
        <f t="shared" si="7"/>
        <v>1183.2132884306409</v>
      </c>
      <c r="J42">
        <v>39</v>
      </c>
      <c r="K42" s="19">
        <f t="shared" si="4"/>
        <v>2240</v>
      </c>
      <c r="L42" s="19">
        <f t="shared" si="5"/>
        <v>795622.12504240242</v>
      </c>
      <c r="M42" s="19">
        <f>L42*Finanzierung!$B$3/100/12</f>
        <v>2121.659000113073</v>
      </c>
      <c r="N42" s="19">
        <f t="shared" si="6"/>
        <v>118.34099988692697</v>
      </c>
      <c r="O42">
        <f>O41*(1+Finanzierung!$B$6/100/12)+$H$3</f>
        <v>41226.361597477939</v>
      </c>
      <c r="S42" s="22">
        <f t="shared" si="0"/>
        <v>3.25</v>
      </c>
      <c r="T42" s="19">
        <f t="shared" si="1"/>
        <v>-756295.01683850971</v>
      </c>
      <c r="U42" s="19">
        <f t="shared" si="2"/>
        <v>-754395.76344492449</v>
      </c>
    </row>
    <row r="43" spans="1:21" x14ac:dyDescent="0.2">
      <c r="A43">
        <v>40</v>
      </c>
      <c r="B43" s="19">
        <f>Finanzierung!$B$5</f>
        <v>3200.0000000000005</v>
      </c>
      <c r="C43" s="19">
        <f t="shared" si="3"/>
        <v>755111.80355007912</v>
      </c>
      <c r="D43" s="19">
        <f>C43*Finanzierung!$B$3/100/12</f>
        <v>2013.6314761335445</v>
      </c>
      <c r="E43" s="19">
        <f t="shared" si="7"/>
        <v>1186.3685238664559</v>
      </c>
      <c r="J43">
        <v>40</v>
      </c>
      <c r="K43" s="19">
        <f t="shared" si="4"/>
        <v>2240</v>
      </c>
      <c r="L43" s="19">
        <f t="shared" si="5"/>
        <v>795503.78404251544</v>
      </c>
      <c r="M43" s="19">
        <f>L43*Finanzierung!$B$3/100/12</f>
        <v>2121.3434241133746</v>
      </c>
      <c r="N43" s="19">
        <f t="shared" si="6"/>
        <v>118.65657588662543</v>
      </c>
      <c r="O43">
        <f>O42*(1+Finanzierung!$B$6/100/12)+$H$3</f>
        <v>42392.49340546532</v>
      </c>
      <c r="S43" s="22">
        <f t="shared" si="0"/>
        <v>3.3333333333333335</v>
      </c>
      <c r="T43" s="19">
        <f t="shared" si="1"/>
        <v>-755111.80355007912</v>
      </c>
      <c r="U43" s="19">
        <f t="shared" si="2"/>
        <v>-753111.29063705017</v>
      </c>
    </row>
    <row r="44" spans="1:21" x14ac:dyDescent="0.2">
      <c r="A44">
        <v>41</v>
      </c>
      <c r="B44" s="19">
        <f>Finanzierung!$B$5</f>
        <v>3200.0000000000005</v>
      </c>
      <c r="C44" s="19">
        <f t="shared" si="3"/>
        <v>753925.43502621271</v>
      </c>
      <c r="D44" s="19">
        <f>C44*Finanzierung!$B$3/100/12</f>
        <v>2010.4678267365673</v>
      </c>
      <c r="E44" s="19">
        <f t="shared" si="7"/>
        <v>1189.5321732634332</v>
      </c>
      <c r="J44">
        <v>41</v>
      </c>
      <c r="K44" s="19">
        <f t="shared" si="4"/>
        <v>2240</v>
      </c>
      <c r="L44" s="19">
        <f t="shared" si="5"/>
        <v>795385.12746662879</v>
      </c>
      <c r="M44" s="19">
        <f>L44*Finanzierung!$B$3/100/12</f>
        <v>2121.0270065776772</v>
      </c>
      <c r="N44" s="19">
        <f t="shared" si="6"/>
        <v>118.97299342232282</v>
      </c>
      <c r="O44">
        <f>O43*(1+Finanzierung!$B$6/100/12)+$H$3</f>
        <v>43564.455872492639</v>
      </c>
      <c r="S44" s="22">
        <f t="shared" si="0"/>
        <v>3.4166666666666665</v>
      </c>
      <c r="T44" s="19">
        <f t="shared" si="1"/>
        <v>-753925.43502621271</v>
      </c>
      <c r="U44" s="19">
        <f t="shared" si="2"/>
        <v>-751820.67159413616</v>
      </c>
    </row>
    <row r="45" spans="1:21" x14ac:dyDescent="0.2">
      <c r="A45">
        <v>42</v>
      </c>
      <c r="B45" s="19">
        <f>Finanzierung!$B$5</f>
        <v>3200.0000000000005</v>
      </c>
      <c r="C45" s="19">
        <f t="shared" si="3"/>
        <v>752735.90285294922</v>
      </c>
      <c r="D45" s="19">
        <f>C45*Finanzierung!$B$3/100/12</f>
        <v>2007.2957409411981</v>
      </c>
      <c r="E45" s="19">
        <f t="shared" si="7"/>
        <v>1192.7042590588023</v>
      </c>
      <c r="J45">
        <v>42</v>
      </c>
      <c r="K45" s="19">
        <f t="shared" si="4"/>
        <v>2240</v>
      </c>
      <c r="L45" s="19">
        <f t="shared" si="5"/>
        <v>795266.15447320649</v>
      </c>
      <c r="M45" s="19">
        <f>L45*Finanzierung!$B$3/100/12</f>
        <v>2120.7097452618841</v>
      </c>
      <c r="N45" s="19">
        <f t="shared" si="6"/>
        <v>119.29025473811589</v>
      </c>
      <c r="O45">
        <f>O44*(1+Finanzierung!$B$6/100/12)+$H$3</f>
        <v>44742.278151855098</v>
      </c>
      <c r="S45" s="22">
        <f t="shared" si="0"/>
        <v>3.5</v>
      </c>
      <c r="T45" s="19">
        <f t="shared" si="1"/>
        <v>-752735.90285294922</v>
      </c>
      <c r="U45" s="19">
        <f t="shared" si="2"/>
        <v>-750523.87632135139</v>
      </c>
    </row>
    <row r="46" spans="1:21" x14ac:dyDescent="0.2">
      <c r="A46">
        <v>43</v>
      </c>
      <c r="B46" s="19">
        <f>Finanzierung!$B$5</f>
        <v>3200.0000000000005</v>
      </c>
      <c r="C46" s="19">
        <f t="shared" si="3"/>
        <v>751543.19859389041</v>
      </c>
      <c r="D46" s="19">
        <f>C46*Finanzierung!$B$3/100/12</f>
        <v>2004.1151962503745</v>
      </c>
      <c r="E46" s="19">
        <f t="shared" si="7"/>
        <v>1195.8848037496259</v>
      </c>
      <c r="J46">
        <v>43</v>
      </c>
      <c r="K46" s="19">
        <f t="shared" si="4"/>
        <v>2240</v>
      </c>
      <c r="L46" s="19">
        <f t="shared" si="5"/>
        <v>795146.86421846843</v>
      </c>
      <c r="M46" s="19">
        <f>L46*Finanzierung!$B$3/100/12</f>
        <v>2120.3916379159159</v>
      </c>
      <c r="N46" s="19">
        <f t="shared" si="6"/>
        <v>119.60836208408409</v>
      </c>
      <c r="O46">
        <f>O45*(1+Finanzierung!$B$6/100/12)+$H$3</f>
        <v>45925.98954261437</v>
      </c>
      <c r="S46" s="22">
        <f t="shared" si="0"/>
        <v>3.5833333333333335</v>
      </c>
      <c r="T46" s="19">
        <f t="shared" si="1"/>
        <v>-751543.19859389041</v>
      </c>
      <c r="U46" s="19">
        <f t="shared" si="2"/>
        <v>-749220.87467585411</v>
      </c>
    </row>
    <row r="47" spans="1:21" x14ac:dyDescent="0.2">
      <c r="A47">
        <v>44</v>
      </c>
      <c r="B47" s="19">
        <f>Finanzierung!$B$5</f>
        <v>3200.0000000000005</v>
      </c>
      <c r="C47" s="19">
        <f t="shared" si="3"/>
        <v>750347.31379014079</v>
      </c>
      <c r="D47" s="19">
        <f>C47*Finanzierung!$B$3/100/12</f>
        <v>2000.926170107042</v>
      </c>
      <c r="E47" s="19">
        <f t="shared" si="7"/>
        <v>1199.0738298929584</v>
      </c>
      <c r="J47">
        <v>44</v>
      </c>
      <c r="K47" s="19">
        <f t="shared" si="4"/>
        <v>2240</v>
      </c>
      <c r="L47" s="19">
        <f t="shared" si="5"/>
        <v>795027.25585638429</v>
      </c>
      <c r="M47" s="19">
        <f>L47*Finanzierung!$B$3/100/12</f>
        <v>2120.0726822836914</v>
      </c>
      <c r="N47" s="19">
        <f t="shared" si="6"/>
        <v>119.92731771630861</v>
      </c>
      <c r="O47">
        <f>O46*(1+Finanzierung!$B$6/100/12)+$H$3</f>
        <v>47115.619490327437</v>
      </c>
      <c r="S47" s="22">
        <f t="shared" si="0"/>
        <v>3.6666666666666665</v>
      </c>
      <c r="T47" s="19">
        <f t="shared" si="1"/>
        <v>-750347.31379014079</v>
      </c>
      <c r="U47" s="19">
        <f t="shared" si="2"/>
        <v>-747911.63636605686</v>
      </c>
    </row>
    <row r="48" spans="1:21" x14ac:dyDescent="0.2">
      <c r="A48">
        <v>45</v>
      </c>
      <c r="B48" s="19">
        <f>Finanzierung!$B$5</f>
        <v>3200.0000000000005</v>
      </c>
      <c r="C48" s="19">
        <f t="shared" si="3"/>
        <v>749148.23996024788</v>
      </c>
      <c r="D48" s="19">
        <f>C48*Finanzierung!$B$3/100/12</f>
        <v>1997.7286398939943</v>
      </c>
      <c r="E48" s="19">
        <f t="shared" si="7"/>
        <v>1202.2713601060061</v>
      </c>
      <c r="J48">
        <v>45</v>
      </c>
      <c r="K48" s="19">
        <f t="shared" si="4"/>
        <v>2240</v>
      </c>
      <c r="L48" s="19">
        <f t="shared" si="5"/>
        <v>794907.32853866799</v>
      </c>
      <c r="M48" s="19">
        <f>L48*Finanzierung!$B$3/100/12</f>
        <v>2119.7528761031149</v>
      </c>
      <c r="N48" s="19">
        <f t="shared" si="6"/>
        <v>120.24712389688511</v>
      </c>
      <c r="O48">
        <f>O47*(1+Finanzierung!$B$6/100/12)+$H$3</f>
        <v>48311.197587779068</v>
      </c>
      <c r="S48" s="22">
        <f t="shared" si="0"/>
        <v>3.75</v>
      </c>
      <c r="T48" s="19">
        <f t="shared" si="1"/>
        <v>-749148.23996024788</v>
      </c>
      <c r="U48" s="19">
        <f t="shared" si="2"/>
        <v>-746596.13095088897</v>
      </c>
    </row>
    <row r="49" spans="1:21" x14ac:dyDescent="0.2">
      <c r="A49">
        <v>46</v>
      </c>
      <c r="B49" s="19">
        <f>Finanzierung!$B$5</f>
        <v>3200.0000000000005</v>
      </c>
      <c r="C49" s="19">
        <f t="shared" si="3"/>
        <v>747945.96860014193</v>
      </c>
      <c r="D49" s="19">
        <f>C49*Finanzierung!$B$3/100/12</f>
        <v>1994.5225829337116</v>
      </c>
      <c r="E49" s="19">
        <f t="shared" si="7"/>
        <v>1205.4774170662888</v>
      </c>
      <c r="J49">
        <v>46</v>
      </c>
      <c r="K49" s="19">
        <f t="shared" si="4"/>
        <v>2240</v>
      </c>
      <c r="L49" s="19">
        <f t="shared" si="5"/>
        <v>794787.08141477115</v>
      </c>
      <c r="M49" s="19">
        <f>L49*Finanzierung!$B$3/100/12</f>
        <v>2119.4322171060567</v>
      </c>
      <c r="N49" s="19">
        <f t="shared" si="6"/>
        <v>120.56778289394333</v>
      </c>
      <c r="O49">
        <f>O48*(1+Finanzierung!$B$6/100/12)+$H$3</f>
        <v>49512.753575717958</v>
      </c>
      <c r="S49" s="22">
        <f t="shared" si="0"/>
        <v>3.8333333333333335</v>
      </c>
      <c r="T49" s="19">
        <f t="shared" si="1"/>
        <v>-747945.96860014193</v>
      </c>
      <c r="U49" s="19">
        <f t="shared" si="2"/>
        <v>-745274.32783905324</v>
      </c>
    </row>
    <row r="50" spans="1:21" x14ac:dyDescent="0.2">
      <c r="A50">
        <v>47</v>
      </c>
      <c r="B50" s="19">
        <f>Finanzierung!$B$5</f>
        <v>3200.0000000000005</v>
      </c>
      <c r="C50" s="19">
        <f t="shared" si="3"/>
        <v>746740.49118307559</v>
      </c>
      <c r="D50" s="19">
        <f>C50*Finanzierung!$B$3/100/12</f>
        <v>1991.3079764882016</v>
      </c>
      <c r="E50" s="19">
        <f t="shared" si="7"/>
        <v>1208.6920235117989</v>
      </c>
      <c r="J50">
        <v>47</v>
      </c>
      <c r="K50" s="19">
        <f t="shared" si="4"/>
        <v>2240</v>
      </c>
      <c r="L50" s="19">
        <f t="shared" si="5"/>
        <v>794666.51363187726</v>
      </c>
      <c r="M50" s="19">
        <f>L50*Finanzierung!$B$3/100/12</f>
        <v>2119.1107030183398</v>
      </c>
      <c r="N50" s="19">
        <f t="shared" si="6"/>
        <v>120.88929698166021</v>
      </c>
      <c r="O50">
        <f>O49*(1+Finanzierung!$B$6/100/12)+$H$3</f>
        <v>50720.317343596544</v>
      </c>
      <c r="S50" s="22">
        <f t="shared" si="0"/>
        <v>3.9166666666666665</v>
      </c>
      <c r="T50" s="19">
        <f t="shared" si="1"/>
        <v>-746740.49118307559</v>
      </c>
      <c r="U50" s="19">
        <f t="shared" si="2"/>
        <v>-743946.19628828065</v>
      </c>
    </row>
    <row r="51" spans="1:21" x14ac:dyDescent="0.2">
      <c r="A51">
        <v>48</v>
      </c>
      <c r="B51" s="19">
        <f>Finanzierung!$B$5</f>
        <v>3200.0000000000005</v>
      </c>
      <c r="C51" s="19">
        <f t="shared" si="3"/>
        <v>745531.79915956385</v>
      </c>
      <c r="D51" s="19">
        <f>C51*Finanzierung!$B$3/100/12</f>
        <v>1988.0847977588367</v>
      </c>
      <c r="E51" s="19">
        <f t="shared" si="7"/>
        <v>1211.9152022411638</v>
      </c>
      <c r="J51">
        <v>48</v>
      </c>
      <c r="K51" s="19">
        <f t="shared" si="4"/>
        <v>2240</v>
      </c>
      <c r="L51" s="19">
        <f t="shared" si="5"/>
        <v>794545.62433489563</v>
      </c>
      <c r="M51" s="19">
        <f>L51*Finanzierung!$B$3/100/12</f>
        <v>2118.7883315597219</v>
      </c>
      <c r="N51" s="19">
        <f t="shared" si="6"/>
        <v>121.21166844027812</v>
      </c>
      <c r="O51">
        <f>O50*(1+Finanzierung!$B$6/100/12)+$H$3</f>
        <v>51933.918930314518</v>
      </c>
      <c r="S51" s="22">
        <f t="shared" si="0"/>
        <v>4</v>
      </c>
      <c r="T51" s="19">
        <f t="shared" si="1"/>
        <v>-745531.79915956385</v>
      </c>
      <c r="U51" s="19">
        <f t="shared" si="2"/>
        <v>-742611.70540458115</v>
      </c>
    </row>
    <row r="52" spans="1:21" x14ac:dyDescent="0.2">
      <c r="A52">
        <v>49</v>
      </c>
      <c r="B52" s="19">
        <f>Finanzierung!$B$5</f>
        <v>3200.0000000000005</v>
      </c>
      <c r="C52" s="19">
        <f t="shared" si="3"/>
        <v>744319.88395732269</v>
      </c>
      <c r="D52" s="19">
        <f>C52*Finanzierung!$B$3/100/12</f>
        <v>1984.853023886194</v>
      </c>
      <c r="E52" s="19">
        <f t="shared" si="7"/>
        <v>1215.1469761138064</v>
      </c>
      <c r="J52">
        <v>49</v>
      </c>
      <c r="K52" s="19">
        <f t="shared" si="4"/>
        <v>2240</v>
      </c>
      <c r="L52" s="19">
        <f t="shared" si="5"/>
        <v>794424.41266645538</v>
      </c>
      <c r="M52" s="19">
        <f>L52*Finanzierung!$B$3/100/12</f>
        <v>2118.4651004438815</v>
      </c>
      <c r="N52" s="19">
        <f t="shared" si="6"/>
        <v>121.53489955611849</v>
      </c>
      <c r="O52">
        <f>O51*(1+Finanzierung!$B$6/100/12)+$H$3</f>
        <v>53153.588524966086</v>
      </c>
      <c r="S52" s="22">
        <f t="shared" si="0"/>
        <v>4.083333333333333</v>
      </c>
      <c r="T52" s="19">
        <f t="shared" si="1"/>
        <v>-744319.88395732269</v>
      </c>
      <c r="U52" s="19">
        <f t="shared" si="2"/>
        <v>-741270.82414148934</v>
      </c>
    </row>
    <row r="53" spans="1:21" x14ac:dyDescent="0.2">
      <c r="A53">
        <v>50</v>
      </c>
      <c r="B53" s="19">
        <f>Finanzierung!$B$5</f>
        <v>3200.0000000000005</v>
      </c>
      <c r="C53" s="19">
        <f t="shared" si="3"/>
        <v>743104.7369812089</v>
      </c>
      <c r="D53" s="19">
        <f>C53*Finanzierung!$B$3/100/12</f>
        <v>1981.6126319498908</v>
      </c>
      <c r="E53" s="19">
        <f t="shared" si="7"/>
        <v>1218.3873680501097</v>
      </c>
      <c r="J53">
        <v>50</v>
      </c>
      <c r="K53" s="19">
        <f t="shared" si="4"/>
        <v>2240</v>
      </c>
      <c r="L53" s="19">
        <f t="shared" si="5"/>
        <v>794302.8777668993</v>
      </c>
      <c r="M53" s="19">
        <f>L53*Finanzierung!$B$3/100/12</f>
        <v>2118.1410073783982</v>
      </c>
      <c r="N53" s="19">
        <f t="shared" si="6"/>
        <v>121.85899262160183</v>
      </c>
      <c r="O53">
        <f>O52*(1+Finanzierung!$B$6/100/12)+$H$3</f>
        <v>54379.356467590907</v>
      </c>
      <c r="S53" s="22">
        <f t="shared" si="0"/>
        <v>4.166666666666667</v>
      </c>
      <c r="T53" s="19">
        <f t="shared" si="1"/>
        <v>-743104.7369812089</v>
      </c>
      <c r="U53" s="19">
        <f t="shared" si="2"/>
        <v>-739923.5212993084</v>
      </c>
    </row>
    <row r="54" spans="1:21" x14ac:dyDescent="0.2">
      <c r="A54">
        <v>51</v>
      </c>
      <c r="B54" s="19">
        <f>Finanzierung!$B$5</f>
        <v>3200.0000000000005</v>
      </c>
      <c r="C54" s="19">
        <f t="shared" si="3"/>
        <v>741886.34961315885</v>
      </c>
      <c r="D54" s="19">
        <f>C54*Finanzierung!$B$3/100/12</f>
        <v>1978.3635989684235</v>
      </c>
      <c r="E54" s="19">
        <f t="shared" si="7"/>
        <v>1221.636401031577</v>
      </c>
      <c r="J54">
        <v>51</v>
      </c>
      <c r="K54" s="19">
        <f t="shared" si="4"/>
        <v>2240</v>
      </c>
      <c r="L54" s="19">
        <f t="shared" si="5"/>
        <v>794181.01877427765</v>
      </c>
      <c r="M54" s="19">
        <f>L54*Finanzierung!$B$3/100/12</f>
        <v>2117.8160500647405</v>
      </c>
      <c r="N54" s="19">
        <f t="shared" si="6"/>
        <v>122.18394993525953</v>
      </c>
      <c r="O54">
        <f>O53*(1+Finanzierung!$B$6/100/12)+$H$3</f>
        <v>55611.253249928857</v>
      </c>
      <c r="S54" s="22">
        <f t="shared" si="0"/>
        <v>4.25</v>
      </c>
      <c r="T54" s="19">
        <f t="shared" si="1"/>
        <v>-741886.34961315885</v>
      </c>
      <c r="U54" s="19">
        <f t="shared" si="2"/>
        <v>-738569.76552434883</v>
      </c>
    </row>
    <row r="55" spans="1:21" x14ac:dyDescent="0.2">
      <c r="A55">
        <v>52</v>
      </c>
      <c r="B55" s="19">
        <f>Finanzierung!$B$5</f>
        <v>3200.0000000000005</v>
      </c>
      <c r="C55" s="19">
        <f t="shared" si="3"/>
        <v>740664.71321212722</v>
      </c>
      <c r="D55" s="19">
        <f>C55*Finanzierung!$B$3/100/12</f>
        <v>1975.1059018990061</v>
      </c>
      <c r="E55" s="19">
        <f t="shared" si="7"/>
        <v>1224.8940981009944</v>
      </c>
      <c r="J55">
        <v>52</v>
      </c>
      <c r="K55" s="19">
        <f t="shared" si="4"/>
        <v>2240</v>
      </c>
      <c r="L55" s="19">
        <f t="shared" si="5"/>
        <v>794058.8348243424</v>
      </c>
      <c r="M55" s="19">
        <f>L55*Finanzierung!$B$3/100/12</f>
        <v>2117.4902261982465</v>
      </c>
      <c r="N55" s="19">
        <f t="shared" si="6"/>
        <v>122.50977380175345</v>
      </c>
      <c r="O55">
        <f>O54*(1+Finanzierung!$B$6/100/12)+$H$3</f>
        <v>56849.309516178495</v>
      </c>
      <c r="S55" s="22">
        <f t="shared" si="0"/>
        <v>4.333333333333333</v>
      </c>
      <c r="T55" s="19">
        <f t="shared" si="1"/>
        <v>-740664.71321212722</v>
      </c>
      <c r="U55" s="19">
        <f t="shared" si="2"/>
        <v>-737209.52530816395</v>
      </c>
    </row>
    <row r="56" spans="1:21" x14ac:dyDescent="0.2">
      <c r="A56">
        <v>53</v>
      </c>
      <c r="B56" s="19">
        <f>Finanzierung!$B$5</f>
        <v>3200.0000000000005</v>
      </c>
      <c r="C56" s="19">
        <f t="shared" si="3"/>
        <v>739439.81911402626</v>
      </c>
      <c r="D56" s="19">
        <f>C56*Finanzierung!$B$3/100/12</f>
        <v>1971.8395176374036</v>
      </c>
      <c r="E56" s="19">
        <f t="shared" si="7"/>
        <v>1228.1604823625969</v>
      </c>
      <c r="J56">
        <v>53</v>
      </c>
      <c r="K56" s="19">
        <f t="shared" si="4"/>
        <v>2240</v>
      </c>
      <c r="L56" s="19">
        <f t="shared" si="5"/>
        <v>793936.32505054062</v>
      </c>
      <c r="M56" s="19">
        <f>L56*Finanzierung!$B$3/100/12</f>
        <v>2117.1635334681082</v>
      </c>
      <c r="N56" s="19">
        <f t="shared" si="6"/>
        <v>122.8364665318918</v>
      </c>
      <c r="O56">
        <f>O55*(1+Finanzierung!$B$6/100/12)+$H$3</f>
        <v>58093.556063759381</v>
      </c>
      <c r="S56" s="22">
        <f t="shared" si="0"/>
        <v>4.416666666666667</v>
      </c>
      <c r="T56" s="19">
        <f t="shared" si="1"/>
        <v>-739439.81911402626</v>
      </c>
      <c r="U56" s="19">
        <f t="shared" si="2"/>
        <v>-735842.76898678124</v>
      </c>
    </row>
    <row r="57" spans="1:21" x14ac:dyDescent="0.2">
      <c r="A57">
        <v>54</v>
      </c>
      <c r="B57" s="19">
        <f>Finanzierung!$B$5</f>
        <v>3200.0000000000005</v>
      </c>
      <c r="C57" s="19">
        <f t="shared" si="3"/>
        <v>738211.65863166365</v>
      </c>
      <c r="D57" s="19">
        <f>C57*Finanzierung!$B$3/100/12</f>
        <v>1968.5644230177702</v>
      </c>
      <c r="E57" s="19">
        <f t="shared" si="7"/>
        <v>1231.4355769822303</v>
      </c>
      <c r="J57">
        <v>54</v>
      </c>
      <c r="K57" s="19">
        <f t="shared" si="4"/>
        <v>2240</v>
      </c>
      <c r="L57" s="19">
        <f t="shared" si="5"/>
        <v>793813.48858400877</v>
      </c>
      <c r="M57" s="19">
        <f>L57*Finanzierung!$B$3/100/12</f>
        <v>2116.8359695573567</v>
      </c>
      <c r="N57" s="19">
        <f t="shared" si="6"/>
        <v>123.16403044264325</v>
      </c>
      <c r="O57">
        <f>O56*(1+Finanzierung!$B$6/100/12)+$H$3</f>
        <v>59344.023844078169</v>
      </c>
      <c r="S57" s="22">
        <f t="shared" si="0"/>
        <v>4.5</v>
      </c>
      <c r="T57" s="19">
        <f t="shared" si="1"/>
        <v>-738211.65863166365</v>
      </c>
      <c r="U57" s="19">
        <f t="shared" si="2"/>
        <v>-734469.46473993058</v>
      </c>
    </row>
    <row r="58" spans="1:21" x14ac:dyDescent="0.2">
      <c r="A58">
        <v>55</v>
      </c>
      <c r="B58" s="19">
        <f>Finanzierung!$B$5</f>
        <v>3200.0000000000005</v>
      </c>
      <c r="C58" s="19">
        <f t="shared" si="3"/>
        <v>736980.22305468144</v>
      </c>
      <c r="D58" s="19">
        <f>C58*Finanzierung!$B$3/100/12</f>
        <v>1965.280594812484</v>
      </c>
      <c r="E58" s="19">
        <f t="shared" si="7"/>
        <v>1234.7194051875165</v>
      </c>
      <c r="J58">
        <v>55</v>
      </c>
      <c r="K58" s="19">
        <f t="shared" si="4"/>
        <v>2240</v>
      </c>
      <c r="L58" s="19">
        <f t="shared" si="5"/>
        <v>793690.32455356617</v>
      </c>
      <c r="M58" s="19">
        <f>L58*Finanzierung!$B$3/100/12</f>
        <v>2116.507532142843</v>
      </c>
      <c r="N58" s="19">
        <f t="shared" si="6"/>
        <v>123.49246785715695</v>
      </c>
      <c r="O58">
        <f>O57*(1+Finanzierung!$B$6/100/12)+$H$3</f>
        <v>60600.743963298555</v>
      </c>
      <c r="S58" s="22">
        <f t="shared" si="0"/>
        <v>4.583333333333333</v>
      </c>
      <c r="T58" s="19">
        <f t="shared" si="1"/>
        <v>-736980.22305468144</v>
      </c>
      <c r="U58" s="19">
        <f t="shared" si="2"/>
        <v>-733089.58059026767</v>
      </c>
    </row>
    <row r="59" spans="1:21" x14ac:dyDescent="0.2">
      <c r="A59">
        <v>56</v>
      </c>
      <c r="B59" s="19">
        <f>Finanzierung!$B$5</f>
        <v>3200.0000000000005</v>
      </c>
      <c r="C59" s="19">
        <f t="shared" si="3"/>
        <v>735745.50364949391</v>
      </c>
      <c r="D59" s="19">
        <f>C59*Finanzierung!$B$3/100/12</f>
        <v>1961.9880097319838</v>
      </c>
      <c r="E59" s="19">
        <f t="shared" si="7"/>
        <v>1238.0119902680167</v>
      </c>
      <c r="J59">
        <v>56</v>
      </c>
      <c r="K59" s="19">
        <f t="shared" si="4"/>
        <v>2240</v>
      </c>
      <c r="L59" s="19">
        <f t="shared" si="5"/>
        <v>793566.83208570897</v>
      </c>
      <c r="M59" s="19">
        <f>L59*Finanzierung!$B$3/100/12</f>
        <v>2116.1782188952243</v>
      </c>
      <c r="N59" s="19">
        <f t="shared" si="6"/>
        <v>123.82178110477571</v>
      </c>
      <c r="O59">
        <f>O58*(1+Finanzierung!$B$6/100/12)+$H$3</f>
        <v>61863.747683115042</v>
      </c>
      <c r="S59" s="22">
        <f t="shared" si="0"/>
        <v>4.666666666666667</v>
      </c>
      <c r="T59" s="19">
        <f t="shared" si="1"/>
        <v>-735745.50364949391</v>
      </c>
      <c r="U59" s="19">
        <f t="shared" si="2"/>
        <v>-731703.0844025939</v>
      </c>
    </row>
    <row r="60" spans="1:21" x14ac:dyDescent="0.2">
      <c r="A60">
        <v>57</v>
      </c>
      <c r="B60" s="19">
        <f>Finanzierung!$B$5</f>
        <v>3200.0000000000005</v>
      </c>
      <c r="C60" s="19">
        <f t="shared" ref="C60:C123" si="8">C59-E59</f>
        <v>734507.4916592259</v>
      </c>
      <c r="D60" s="19">
        <f>C60*Finanzierung!$B$3/100/12</f>
        <v>1958.6866444246025</v>
      </c>
      <c r="E60" s="19">
        <f t="shared" si="7"/>
        <v>1241.313355575398</v>
      </c>
      <c r="J60">
        <v>57</v>
      </c>
      <c r="K60" s="19">
        <f t="shared" si="4"/>
        <v>2240</v>
      </c>
      <c r="L60" s="19">
        <f t="shared" si="5"/>
        <v>793443.01030460419</v>
      </c>
      <c r="M60" s="19">
        <f>L60*Finanzierung!$B$3/100/12</f>
        <v>2115.8480274789449</v>
      </c>
      <c r="N60" s="19">
        <f t="shared" si="6"/>
        <v>124.15197252105509</v>
      </c>
      <c r="O60">
        <f>O59*(1+Finanzierung!$B$6/100/12)+$H$3</f>
        <v>63133.06642153061</v>
      </c>
      <c r="S60" s="22">
        <f t="shared" si="0"/>
        <v>4.75</v>
      </c>
      <c r="T60" s="19">
        <f t="shared" si="1"/>
        <v>-734507.4916592259</v>
      </c>
      <c r="U60" s="19">
        <f t="shared" si="2"/>
        <v>-730309.94388307363</v>
      </c>
    </row>
    <row r="61" spans="1:21" x14ac:dyDescent="0.2">
      <c r="A61">
        <v>58</v>
      </c>
      <c r="B61" s="19">
        <f>Finanzierung!$B$5</f>
        <v>3200.0000000000005</v>
      </c>
      <c r="C61" s="19">
        <f t="shared" si="8"/>
        <v>733266.17830365046</v>
      </c>
      <c r="D61" s="19">
        <f>C61*Finanzierung!$B$3/100/12</f>
        <v>1955.3764754764015</v>
      </c>
      <c r="E61" s="19">
        <f t="shared" si="7"/>
        <v>1244.6235245235989</v>
      </c>
      <c r="J61">
        <v>58</v>
      </c>
      <c r="K61" s="19">
        <f t="shared" si="4"/>
        <v>2240</v>
      </c>
      <c r="L61" s="19">
        <f t="shared" si="5"/>
        <v>793318.85833208309</v>
      </c>
      <c r="M61" s="19">
        <f>L61*Finanzierung!$B$3/100/12</f>
        <v>2115.516955552222</v>
      </c>
      <c r="N61" s="19">
        <f t="shared" si="6"/>
        <v>124.48304444777796</v>
      </c>
      <c r="O61">
        <f>O60*(1+Finanzierung!$B$6/100/12)+$H$3</f>
        <v>64408.731753638254</v>
      </c>
      <c r="S61" s="22">
        <f t="shared" si="0"/>
        <v>4.833333333333333</v>
      </c>
      <c r="T61" s="19">
        <f t="shared" si="1"/>
        <v>-733266.17830365046</v>
      </c>
      <c r="U61" s="19">
        <f t="shared" si="2"/>
        <v>-728910.12657844485</v>
      </c>
    </row>
    <row r="62" spans="1:21" x14ac:dyDescent="0.2">
      <c r="A62">
        <v>59</v>
      </c>
      <c r="B62" s="19">
        <f>Finanzierung!$B$5</f>
        <v>3200.0000000000005</v>
      </c>
      <c r="C62" s="19">
        <f t="shared" si="8"/>
        <v>732021.55477912689</v>
      </c>
      <c r="D62" s="19">
        <f>C62*Finanzierung!$B$3/100/12</f>
        <v>1952.057479411005</v>
      </c>
      <c r="E62" s="19">
        <f t="shared" si="7"/>
        <v>1247.9425205889954</v>
      </c>
      <c r="J62">
        <v>59</v>
      </c>
      <c r="K62" s="19">
        <f t="shared" si="4"/>
        <v>2240</v>
      </c>
      <c r="L62" s="19">
        <f t="shared" si="5"/>
        <v>793194.37528763537</v>
      </c>
      <c r="M62" s="19">
        <f>L62*Finanzierung!$B$3/100/12</f>
        <v>2115.1850007670278</v>
      </c>
      <c r="N62" s="19">
        <f t="shared" si="6"/>
        <v>124.81499923297224</v>
      </c>
      <c r="O62">
        <f>O61*(1+Finanzierung!$B$6/100/12)+$H$3</f>
        <v>65690.775412406438</v>
      </c>
      <c r="S62" s="22">
        <f t="shared" si="0"/>
        <v>4.916666666666667</v>
      </c>
      <c r="T62" s="19">
        <f t="shared" si="1"/>
        <v>-732021.55477912689</v>
      </c>
      <c r="U62" s="19">
        <f t="shared" si="2"/>
        <v>-727503.59987522895</v>
      </c>
    </row>
    <row r="63" spans="1:21" x14ac:dyDescent="0.2">
      <c r="A63">
        <v>60</v>
      </c>
      <c r="B63" s="19">
        <f>Finanzierung!$B$5</f>
        <v>3200.0000000000005</v>
      </c>
      <c r="C63" s="19">
        <f t="shared" si="8"/>
        <v>730773.61225853791</v>
      </c>
      <c r="D63" s="19">
        <f>C63*Finanzierung!$B$3/100/12</f>
        <v>1948.7296326894345</v>
      </c>
      <c r="E63" s="19">
        <f t="shared" si="7"/>
        <v>1251.2703673105659</v>
      </c>
      <c r="J63">
        <v>60</v>
      </c>
      <c r="K63" s="19">
        <f t="shared" si="4"/>
        <v>2240</v>
      </c>
      <c r="L63" s="19">
        <f t="shared" si="5"/>
        <v>793069.56028840237</v>
      </c>
      <c r="M63" s="19">
        <f>L63*Finanzierung!$B$3/100/12</f>
        <v>2114.8521607690732</v>
      </c>
      <c r="N63" s="19">
        <f t="shared" si="6"/>
        <v>125.14783923092682</v>
      </c>
      <c r="O63">
        <f>O62*(1+Finanzierung!$B$6/100/12)+$H$3</f>
        <v>66979.229289468465</v>
      </c>
      <c r="S63" s="22">
        <f t="shared" si="0"/>
        <v>5</v>
      </c>
      <c r="T63" s="19">
        <f t="shared" si="1"/>
        <v>-730773.61225853791</v>
      </c>
      <c r="U63" s="19">
        <f t="shared" si="2"/>
        <v>-726090.33099893387</v>
      </c>
    </row>
    <row r="64" spans="1:21" x14ac:dyDescent="0.2">
      <c r="A64">
        <v>61</v>
      </c>
      <c r="B64" s="19">
        <f>Finanzierung!$B$5</f>
        <v>3200.0000000000005</v>
      </c>
      <c r="C64" s="19">
        <f t="shared" si="8"/>
        <v>729522.34189122729</v>
      </c>
      <c r="D64" s="19">
        <f>C64*Finanzierung!$B$3/100/12</f>
        <v>1945.3929117099394</v>
      </c>
      <c r="E64" s="19">
        <f t="shared" si="7"/>
        <v>1254.607088290061</v>
      </c>
      <c r="J64">
        <v>61</v>
      </c>
      <c r="K64" s="19">
        <f t="shared" si="4"/>
        <v>2240</v>
      </c>
      <c r="L64" s="19">
        <f t="shared" si="5"/>
        <v>792944.41244917142</v>
      </c>
      <c r="M64" s="19">
        <f>L64*Finanzierung!$B$3/100/12</f>
        <v>2114.5184331977907</v>
      </c>
      <c r="N64" s="19">
        <f t="shared" si="6"/>
        <v>125.48156680220927</v>
      </c>
      <c r="O64">
        <f>O63*(1+Finanzierung!$B$6/100/12)+$H$3</f>
        <v>68274.125435915805</v>
      </c>
      <c r="S64" s="22">
        <f t="shared" si="0"/>
        <v>5.083333333333333</v>
      </c>
      <c r="T64" s="19">
        <f t="shared" si="1"/>
        <v>-729522.34189122729</v>
      </c>
      <c r="U64" s="19">
        <f t="shared" si="2"/>
        <v>-724670.28701325564</v>
      </c>
    </row>
    <row r="65" spans="1:21" x14ac:dyDescent="0.2">
      <c r="A65">
        <v>62</v>
      </c>
      <c r="B65" s="19">
        <f>Finanzierung!$B$5</f>
        <v>3200.0000000000005</v>
      </c>
      <c r="C65" s="19">
        <f t="shared" si="8"/>
        <v>728267.73480293725</v>
      </c>
      <c r="D65" s="19">
        <f>C65*Finanzierung!$B$3/100/12</f>
        <v>1942.0472928078327</v>
      </c>
      <c r="E65" s="19">
        <f t="shared" si="7"/>
        <v>1257.9527071921677</v>
      </c>
      <c r="J65">
        <v>62</v>
      </c>
      <c r="K65" s="19">
        <f t="shared" si="4"/>
        <v>2240</v>
      </c>
      <c r="L65" s="19">
        <f t="shared" si="5"/>
        <v>792818.93088236917</v>
      </c>
      <c r="M65" s="19">
        <f>L65*Finanzierung!$B$3/100/12</f>
        <v>2114.1838156863178</v>
      </c>
      <c r="N65" s="19">
        <f t="shared" si="6"/>
        <v>125.81618431368224</v>
      </c>
      <c r="O65">
        <f>O64*(1+Finanzierung!$B$6/100/12)+$H$3</f>
        <v>69575.496063095372</v>
      </c>
      <c r="S65" s="22">
        <f t="shared" si="0"/>
        <v>5.166666666666667</v>
      </c>
      <c r="T65" s="19">
        <f t="shared" si="1"/>
        <v>-728267.73480293725</v>
      </c>
      <c r="U65" s="19">
        <f t="shared" si="2"/>
        <v>-723243.43481927377</v>
      </c>
    </row>
    <row r="66" spans="1:21" x14ac:dyDescent="0.2">
      <c r="A66">
        <v>63</v>
      </c>
      <c r="B66" s="19">
        <f>Finanzierung!$B$5</f>
        <v>3200.0000000000005</v>
      </c>
      <c r="C66" s="19">
        <f t="shared" si="8"/>
        <v>727009.78209574509</v>
      </c>
      <c r="D66" s="19">
        <f>C66*Finanzierung!$B$3/100/12</f>
        <v>1938.6927522553206</v>
      </c>
      <c r="E66" s="19">
        <f t="shared" si="7"/>
        <v>1261.3072477446799</v>
      </c>
      <c r="J66">
        <v>63</v>
      </c>
      <c r="K66" s="19">
        <f t="shared" si="4"/>
        <v>2240</v>
      </c>
      <c r="L66" s="19">
        <f t="shared" si="5"/>
        <v>792693.11469805543</v>
      </c>
      <c r="M66" s="19">
        <f>L66*Finanzierung!$B$3/100/12</f>
        <v>2113.8483058614811</v>
      </c>
      <c r="N66" s="19">
        <f t="shared" si="6"/>
        <v>126.15169413851891</v>
      </c>
      <c r="O66">
        <f>O65*(1+Finanzierung!$B$6/100/12)+$H$3</f>
        <v>70883.373543410838</v>
      </c>
      <c r="S66" s="22">
        <f t="shared" si="0"/>
        <v>5.25</v>
      </c>
      <c r="T66" s="19">
        <f t="shared" si="1"/>
        <v>-727009.78209574509</v>
      </c>
      <c r="U66" s="19">
        <f t="shared" si="2"/>
        <v>-721809.74115464464</v>
      </c>
    </row>
    <row r="67" spans="1:21" x14ac:dyDescent="0.2">
      <c r="A67">
        <v>64</v>
      </c>
      <c r="B67" s="19">
        <f>Finanzierung!$B$5</f>
        <v>3200.0000000000005</v>
      </c>
      <c r="C67" s="19">
        <f t="shared" si="8"/>
        <v>725748.47484800045</v>
      </c>
      <c r="D67" s="19">
        <f>C67*Finanzierung!$B$3/100/12</f>
        <v>1935.3292662613346</v>
      </c>
      <c r="E67" s="19">
        <f t="shared" si="7"/>
        <v>1264.6707337386658</v>
      </c>
      <c r="J67">
        <v>64</v>
      </c>
      <c r="K67" s="19">
        <f t="shared" si="4"/>
        <v>2240</v>
      </c>
      <c r="L67" s="19">
        <f t="shared" si="5"/>
        <v>792566.9630039169</v>
      </c>
      <c r="M67" s="19">
        <f>L67*Finanzierung!$B$3/100/12</f>
        <v>2113.5119013437784</v>
      </c>
      <c r="N67" s="19">
        <f t="shared" si="6"/>
        <v>126.48809865622161</v>
      </c>
      <c r="O67">
        <f>O66*(1+Finanzierung!$B$6/100/12)+$H$3</f>
        <v>72197.790411127891</v>
      </c>
      <c r="S67" s="22">
        <f t="shared" si="0"/>
        <v>5.333333333333333</v>
      </c>
      <c r="T67" s="19">
        <f t="shared" si="1"/>
        <v>-725748.47484800045</v>
      </c>
      <c r="U67" s="19">
        <f t="shared" si="2"/>
        <v>-720369.17259278905</v>
      </c>
    </row>
    <row r="68" spans="1:21" x14ac:dyDescent="0.2">
      <c r="A68">
        <v>65</v>
      </c>
      <c r="B68" s="19">
        <f>Finanzierung!$B$5</f>
        <v>3200.0000000000005</v>
      </c>
      <c r="C68" s="19">
        <f t="shared" si="8"/>
        <v>724483.80411426176</v>
      </c>
      <c r="D68" s="19">
        <f>C68*Finanzierung!$B$3/100/12</f>
        <v>1931.9568109713646</v>
      </c>
      <c r="E68" s="19">
        <f t="shared" si="7"/>
        <v>1268.0431890286359</v>
      </c>
      <c r="J68">
        <v>65</v>
      </c>
      <c r="K68" s="19">
        <f t="shared" si="4"/>
        <v>2240</v>
      </c>
      <c r="L68" s="19">
        <f t="shared" si="5"/>
        <v>792440.47490526072</v>
      </c>
      <c r="M68" s="19">
        <f>L68*Finanzierung!$B$3/100/12</f>
        <v>2113.1745997473622</v>
      </c>
      <c r="N68" s="19">
        <f t="shared" si="6"/>
        <v>126.82540025263779</v>
      </c>
      <c r="O68">
        <f>O67*(1+Finanzierung!$B$6/100/12)+$H$3</f>
        <v>73518.779363183523</v>
      </c>
      <c r="S68" s="22">
        <f t="shared" ref="S68:S131" si="9">J68/12</f>
        <v>5.416666666666667</v>
      </c>
      <c r="T68" s="19">
        <f t="shared" ref="T68:T131" si="10">-C68</f>
        <v>-724483.80411426176</v>
      </c>
      <c r="U68" s="19">
        <f t="shared" ref="U68:U131" si="11">O68-L68</f>
        <v>-718921.69554207718</v>
      </c>
    </row>
    <row r="69" spans="1:21" x14ac:dyDescent="0.2">
      <c r="A69">
        <v>66</v>
      </c>
      <c r="B69" s="19">
        <f>Finanzierung!$B$5</f>
        <v>3200.0000000000005</v>
      </c>
      <c r="C69" s="19">
        <f t="shared" si="8"/>
        <v>723215.76092523313</v>
      </c>
      <c r="D69" s="19">
        <f>C69*Finanzierung!$B$3/100/12</f>
        <v>1928.5753624672886</v>
      </c>
      <c r="E69" s="19">
        <f t="shared" si="7"/>
        <v>1271.4246375327118</v>
      </c>
      <c r="J69">
        <v>66</v>
      </c>
      <c r="K69" s="19">
        <f t="shared" ref="K69:K132" si="12">$H$1</f>
        <v>2240</v>
      </c>
      <c r="L69" s="19">
        <f t="shared" ref="L69:L132" si="13">L68-N68</f>
        <v>792313.64950500813</v>
      </c>
      <c r="M69" s="19">
        <f>L69*Finanzierung!$B$3/100/12</f>
        <v>2112.8363986800218</v>
      </c>
      <c r="N69" s="19">
        <f t="shared" ref="N69:N132" si="14">K69-M69</f>
        <v>127.16360131997817</v>
      </c>
      <c r="O69">
        <f>O68*(1+Finanzierung!$B$6/100/12)+$H$3</f>
        <v>74846.373259999425</v>
      </c>
      <c r="S69" s="22">
        <f t="shared" si="9"/>
        <v>5.5</v>
      </c>
      <c r="T69" s="19">
        <f t="shared" si="10"/>
        <v>-723215.76092523313</v>
      </c>
      <c r="U69" s="19">
        <f t="shared" si="11"/>
        <v>-717467.27624500869</v>
      </c>
    </row>
    <row r="70" spans="1:21" x14ac:dyDescent="0.2">
      <c r="A70">
        <v>67</v>
      </c>
      <c r="B70" s="19">
        <f>Finanzierung!$B$5</f>
        <v>3200.0000000000005</v>
      </c>
      <c r="C70" s="19">
        <f t="shared" si="8"/>
        <v>721944.33628770045</v>
      </c>
      <c r="D70" s="19">
        <f>C70*Finanzierung!$B$3/100/12</f>
        <v>1925.1848967672013</v>
      </c>
      <c r="E70" s="19">
        <f t="shared" ref="E70:E133" si="15">B70-D70</f>
        <v>1274.8151032327992</v>
      </c>
      <c r="J70">
        <v>67</v>
      </c>
      <c r="K70" s="19">
        <f t="shared" si="12"/>
        <v>2240</v>
      </c>
      <c r="L70" s="19">
        <f t="shared" si="13"/>
        <v>792186.48590368812</v>
      </c>
      <c r="M70" s="19">
        <f>L70*Finanzierung!$B$3/100/12</f>
        <v>2112.4972957431687</v>
      </c>
      <c r="N70" s="19">
        <f t="shared" si="14"/>
        <v>127.50270425683129</v>
      </c>
      <c r="O70">
        <f>O69*(1+Finanzierung!$B$6/100/12)+$H$3</f>
        <v>76180.605126299415</v>
      </c>
      <c r="S70" s="22">
        <f t="shared" si="9"/>
        <v>5.583333333333333</v>
      </c>
      <c r="T70" s="19">
        <f t="shared" si="10"/>
        <v>-721944.33628770045</v>
      </c>
      <c r="U70" s="19">
        <f t="shared" si="11"/>
        <v>-716005.88077738869</v>
      </c>
    </row>
    <row r="71" spans="1:21" x14ac:dyDescent="0.2">
      <c r="A71">
        <v>68</v>
      </c>
      <c r="B71" s="19">
        <f>Finanzierung!$B$5</f>
        <v>3200.0000000000005</v>
      </c>
      <c r="C71" s="19">
        <f t="shared" si="8"/>
        <v>720669.52118446771</v>
      </c>
      <c r="D71" s="19">
        <f>C71*Finanzierung!$B$3/100/12</f>
        <v>1921.7853898252472</v>
      </c>
      <c r="E71" s="19">
        <f t="shared" si="15"/>
        <v>1278.2146101747533</v>
      </c>
      <c r="J71">
        <v>68</v>
      </c>
      <c r="K71" s="19">
        <f t="shared" si="12"/>
        <v>2240</v>
      </c>
      <c r="L71" s="19">
        <f t="shared" si="13"/>
        <v>792058.98319943133</v>
      </c>
      <c r="M71" s="19">
        <f>L71*Finanzierung!$B$3/100/12</f>
        <v>2112.1572885318169</v>
      </c>
      <c r="N71" s="19">
        <f t="shared" si="14"/>
        <v>127.8427114681831</v>
      </c>
      <c r="O71">
        <f>O70*(1+Finanzierung!$B$6/100/12)+$H$3</f>
        <v>77521.508151930902</v>
      </c>
      <c r="S71" s="22">
        <f t="shared" si="9"/>
        <v>5.666666666666667</v>
      </c>
      <c r="T71" s="19">
        <f t="shared" si="10"/>
        <v>-720669.52118446771</v>
      </c>
      <c r="U71" s="19">
        <f t="shared" si="11"/>
        <v>-714537.47504750045</v>
      </c>
    </row>
    <row r="72" spans="1:21" x14ac:dyDescent="0.2">
      <c r="A72">
        <v>69</v>
      </c>
      <c r="B72" s="19">
        <f>Finanzierung!$B$5</f>
        <v>3200.0000000000005</v>
      </c>
      <c r="C72" s="19">
        <f t="shared" si="8"/>
        <v>719391.30657429295</v>
      </c>
      <c r="D72" s="19">
        <f>C72*Finanzierung!$B$3/100/12</f>
        <v>1918.3768175314481</v>
      </c>
      <c r="E72" s="19">
        <f t="shared" si="15"/>
        <v>1281.6231824685524</v>
      </c>
      <c r="J72">
        <v>69</v>
      </c>
      <c r="K72" s="19">
        <f t="shared" si="12"/>
        <v>2240</v>
      </c>
      <c r="L72" s="19">
        <f t="shared" si="13"/>
        <v>791931.1404879631</v>
      </c>
      <c r="M72" s="19">
        <f>L72*Finanzierung!$B$3/100/12</f>
        <v>2111.8163746345685</v>
      </c>
      <c r="N72" s="19">
        <f t="shared" si="14"/>
        <v>128.18362536543145</v>
      </c>
      <c r="O72">
        <f>O71*(1+Finanzierung!$B$6/100/12)+$H$3</f>
        <v>78869.115692690553</v>
      </c>
      <c r="S72" s="22">
        <f t="shared" si="9"/>
        <v>5.75</v>
      </c>
      <c r="T72" s="19">
        <f t="shared" si="10"/>
        <v>-719391.30657429295</v>
      </c>
      <c r="U72" s="19">
        <f t="shared" si="11"/>
        <v>-713062.0247952725</v>
      </c>
    </row>
    <row r="73" spans="1:21" x14ac:dyDescent="0.2">
      <c r="A73">
        <v>70</v>
      </c>
      <c r="B73" s="19">
        <f>Finanzierung!$B$5</f>
        <v>3200.0000000000005</v>
      </c>
      <c r="C73" s="19">
        <f t="shared" si="8"/>
        <v>718109.68339182436</v>
      </c>
      <c r="D73" s="19">
        <f>C73*Finanzierung!$B$3/100/12</f>
        <v>1914.9591557115316</v>
      </c>
      <c r="E73" s="19">
        <f t="shared" si="15"/>
        <v>1285.0408442884689</v>
      </c>
      <c r="J73">
        <v>70</v>
      </c>
      <c r="K73" s="19">
        <f t="shared" si="12"/>
        <v>2240</v>
      </c>
      <c r="L73" s="19">
        <f t="shared" si="13"/>
        <v>791802.95686259773</v>
      </c>
      <c r="M73" s="19">
        <f>L73*Finanzierung!$B$3/100/12</f>
        <v>2111.4745516335938</v>
      </c>
      <c r="N73" s="19">
        <f t="shared" si="14"/>
        <v>128.52544836640618</v>
      </c>
      <c r="O73">
        <f>O72*(1+Finanzierung!$B$6/100/12)+$H$3</f>
        <v>80223.461271153996</v>
      </c>
      <c r="S73" s="22">
        <f t="shared" si="9"/>
        <v>5.833333333333333</v>
      </c>
      <c r="T73" s="19">
        <f t="shared" si="10"/>
        <v>-718109.68339182436</v>
      </c>
      <c r="U73" s="19">
        <f t="shared" si="11"/>
        <v>-711579.49559144373</v>
      </c>
    </row>
    <row r="74" spans="1:21" x14ac:dyDescent="0.2">
      <c r="A74">
        <v>71</v>
      </c>
      <c r="B74" s="19">
        <f>Finanzierung!$B$5</f>
        <v>3200.0000000000005</v>
      </c>
      <c r="C74" s="19">
        <f t="shared" si="8"/>
        <v>716824.64254753594</v>
      </c>
      <c r="D74" s="19">
        <f>C74*Finanzierung!$B$3/100/12</f>
        <v>1911.5323801267623</v>
      </c>
      <c r="E74" s="19">
        <f t="shared" si="15"/>
        <v>1288.4676198732382</v>
      </c>
      <c r="J74">
        <v>71</v>
      </c>
      <c r="K74" s="19">
        <f t="shared" si="12"/>
        <v>2240</v>
      </c>
      <c r="L74" s="19">
        <f t="shared" si="13"/>
        <v>791674.43141423131</v>
      </c>
      <c r="M74" s="19">
        <f>L74*Finanzierung!$B$3/100/12</f>
        <v>2111.1318171046169</v>
      </c>
      <c r="N74" s="19">
        <f t="shared" si="14"/>
        <v>128.86818289538314</v>
      </c>
      <c r="O74">
        <f>O73*(1+Finanzierung!$B$6/100/12)+$H$3</f>
        <v>81584.578577509761</v>
      </c>
      <c r="S74" s="22">
        <f t="shared" si="9"/>
        <v>5.916666666666667</v>
      </c>
      <c r="T74" s="19">
        <f t="shared" si="10"/>
        <v>-716824.64254753594</v>
      </c>
      <c r="U74" s="19">
        <f t="shared" si="11"/>
        <v>-710089.85283672158</v>
      </c>
    </row>
    <row r="75" spans="1:21" x14ac:dyDescent="0.2">
      <c r="A75">
        <v>72</v>
      </c>
      <c r="B75" s="19">
        <f>Finanzierung!$B$5</f>
        <v>3200.0000000000005</v>
      </c>
      <c r="C75" s="19">
        <f t="shared" si="8"/>
        <v>715536.17492766271</v>
      </c>
      <c r="D75" s="19">
        <f>C75*Finanzierung!$B$3/100/12</f>
        <v>1908.0964664737676</v>
      </c>
      <c r="E75" s="19">
        <f t="shared" si="15"/>
        <v>1291.9035335262329</v>
      </c>
      <c r="J75">
        <v>72</v>
      </c>
      <c r="K75" s="19">
        <f t="shared" si="12"/>
        <v>2240</v>
      </c>
      <c r="L75" s="19">
        <f t="shared" si="13"/>
        <v>791545.56323133595</v>
      </c>
      <c r="M75" s="19">
        <f>L75*Finanzierung!$B$3/100/12</f>
        <v>2110.7881686168962</v>
      </c>
      <c r="N75" s="19">
        <f t="shared" si="14"/>
        <v>129.2118313831038</v>
      </c>
      <c r="O75">
        <f>O74*(1+Finanzierung!$B$6/100/12)+$H$3</f>
        <v>82952.501470397299</v>
      </c>
      <c r="S75" s="22">
        <f t="shared" si="9"/>
        <v>6</v>
      </c>
      <c r="T75" s="19">
        <f t="shared" si="10"/>
        <v>-715536.17492766271</v>
      </c>
      <c r="U75" s="19">
        <f t="shared" si="11"/>
        <v>-708593.06176093861</v>
      </c>
    </row>
    <row r="76" spans="1:21" x14ac:dyDescent="0.2">
      <c r="A76">
        <v>73</v>
      </c>
      <c r="B76" s="19">
        <f>Finanzierung!$B$5</f>
        <v>3200.0000000000005</v>
      </c>
      <c r="C76" s="19">
        <f t="shared" si="8"/>
        <v>714244.27139413648</v>
      </c>
      <c r="D76" s="19">
        <f>C76*Finanzierung!$B$3/100/12</f>
        <v>1904.651390384364</v>
      </c>
      <c r="E76" s="19">
        <f t="shared" si="15"/>
        <v>1295.3486096156364</v>
      </c>
      <c r="J76">
        <v>73</v>
      </c>
      <c r="K76" s="19">
        <f t="shared" si="12"/>
        <v>2240</v>
      </c>
      <c r="L76" s="19">
        <f t="shared" si="13"/>
        <v>791416.3513999529</v>
      </c>
      <c r="M76" s="19">
        <f>L76*Finanzierung!$B$3/100/12</f>
        <v>2110.443603733208</v>
      </c>
      <c r="N76" s="19">
        <f t="shared" si="14"/>
        <v>129.55639626679204</v>
      </c>
      <c r="O76">
        <f>O75*(1+Finanzierung!$B$6/100/12)+$H$3</f>
        <v>84327.263977749273</v>
      </c>
      <c r="S76" s="22">
        <f t="shared" si="9"/>
        <v>6.083333333333333</v>
      </c>
      <c r="T76" s="19">
        <f t="shared" si="10"/>
        <v>-714244.27139413648</v>
      </c>
      <c r="U76" s="19">
        <f t="shared" si="11"/>
        <v>-707089.08742220362</v>
      </c>
    </row>
    <row r="77" spans="1:21" x14ac:dyDescent="0.2">
      <c r="A77">
        <v>74</v>
      </c>
      <c r="B77" s="19">
        <f>Finanzierung!$B$5</f>
        <v>3200.0000000000005</v>
      </c>
      <c r="C77" s="19">
        <f t="shared" si="8"/>
        <v>712948.9227845209</v>
      </c>
      <c r="D77" s="19">
        <f>C77*Finanzierung!$B$3/100/12</f>
        <v>1901.1971274253892</v>
      </c>
      <c r="E77" s="19">
        <f t="shared" si="15"/>
        <v>1298.8028725746112</v>
      </c>
      <c r="J77">
        <v>74</v>
      </c>
      <c r="K77" s="19">
        <f t="shared" si="12"/>
        <v>2240</v>
      </c>
      <c r="L77" s="19">
        <f t="shared" si="13"/>
        <v>791286.7950036861</v>
      </c>
      <c r="M77" s="19">
        <f>L77*Finanzierung!$B$3/100/12</f>
        <v>2110.0981200098299</v>
      </c>
      <c r="N77" s="19">
        <f t="shared" si="14"/>
        <v>129.90187999017007</v>
      </c>
      <c r="O77">
        <f>O76*(1+Finanzierung!$B$6/100/12)+$H$3</f>
        <v>85708.900297638014</v>
      </c>
      <c r="S77" s="22">
        <f t="shared" si="9"/>
        <v>6.166666666666667</v>
      </c>
      <c r="T77" s="19">
        <f t="shared" si="10"/>
        <v>-712948.9227845209</v>
      </c>
      <c r="U77" s="19">
        <f t="shared" si="11"/>
        <v>-705577.89470604807</v>
      </c>
    </row>
    <row r="78" spans="1:21" x14ac:dyDescent="0.2">
      <c r="A78">
        <v>75</v>
      </c>
      <c r="B78" s="19">
        <f>Finanzierung!$B$5</f>
        <v>3200.0000000000005</v>
      </c>
      <c r="C78" s="19">
        <f t="shared" si="8"/>
        <v>711650.11991194624</v>
      </c>
      <c r="D78" s="19">
        <f>C78*Finanzierung!$B$3/100/12</f>
        <v>1897.7336530985233</v>
      </c>
      <c r="E78" s="19">
        <f t="shared" si="15"/>
        <v>1302.2663469014772</v>
      </c>
      <c r="J78">
        <v>75</v>
      </c>
      <c r="K78" s="19">
        <f t="shared" si="12"/>
        <v>2240</v>
      </c>
      <c r="L78" s="19">
        <f t="shared" si="13"/>
        <v>791156.89312369598</v>
      </c>
      <c r="M78" s="19">
        <f>L78*Finanzierung!$B$3/100/12</f>
        <v>2109.7517149965229</v>
      </c>
      <c r="N78" s="19">
        <f t="shared" si="14"/>
        <v>130.24828500347712</v>
      </c>
      <c r="O78">
        <f>O77*(1+Finanzierung!$B$6/100/12)+$H$3</f>
        <v>87097.444799126199</v>
      </c>
      <c r="S78" s="22">
        <f t="shared" si="9"/>
        <v>6.25</v>
      </c>
      <c r="T78" s="19">
        <f t="shared" si="10"/>
        <v>-711650.11991194624</v>
      </c>
      <c r="U78" s="19">
        <f t="shared" si="11"/>
        <v>-704059.44832456973</v>
      </c>
    </row>
    <row r="79" spans="1:21" x14ac:dyDescent="0.2">
      <c r="A79">
        <v>76</v>
      </c>
      <c r="B79" s="19">
        <f>Finanzierung!$B$5</f>
        <v>3200.0000000000005</v>
      </c>
      <c r="C79" s="19">
        <f t="shared" si="8"/>
        <v>710347.85356504482</v>
      </c>
      <c r="D79" s="19">
        <f>C79*Finanzierung!$B$3/100/12</f>
        <v>1894.2609428401195</v>
      </c>
      <c r="E79" s="19">
        <f t="shared" si="15"/>
        <v>1305.739057159881</v>
      </c>
      <c r="J79">
        <v>76</v>
      </c>
      <c r="K79" s="19">
        <f t="shared" si="12"/>
        <v>2240</v>
      </c>
      <c r="L79" s="19">
        <f t="shared" si="13"/>
        <v>791026.6448386925</v>
      </c>
      <c r="M79" s="19">
        <f>L79*Finanzierung!$B$3/100/12</f>
        <v>2109.4043862365138</v>
      </c>
      <c r="N79" s="19">
        <f t="shared" si="14"/>
        <v>130.5956137634862</v>
      </c>
      <c r="O79">
        <f>O78*(1+Finanzierung!$B$6/100/12)+$H$3</f>
        <v>88492.932023121815</v>
      </c>
      <c r="S79" s="22">
        <f t="shared" si="9"/>
        <v>6.333333333333333</v>
      </c>
      <c r="T79" s="19">
        <f t="shared" si="10"/>
        <v>-710347.85356504482</v>
      </c>
      <c r="U79" s="19">
        <f t="shared" si="11"/>
        <v>-702533.71281557065</v>
      </c>
    </row>
    <row r="80" spans="1:21" x14ac:dyDescent="0.2">
      <c r="A80">
        <v>77</v>
      </c>
      <c r="B80" s="19">
        <f>Finanzierung!$B$5</f>
        <v>3200.0000000000005</v>
      </c>
      <c r="C80" s="19">
        <f t="shared" si="8"/>
        <v>709042.11450788495</v>
      </c>
      <c r="D80" s="19">
        <f>C80*Finanzierung!$B$3/100/12</f>
        <v>1890.7789720210267</v>
      </c>
      <c r="E80" s="19">
        <f t="shared" si="15"/>
        <v>1309.2210279789738</v>
      </c>
      <c r="J80">
        <v>77</v>
      </c>
      <c r="K80" s="19">
        <f t="shared" si="12"/>
        <v>2240</v>
      </c>
      <c r="L80" s="19">
        <f t="shared" si="13"/>
        <v>790896.04922492907</v>
      </c>
      <c r="M80" s="19">
        <f>L80*Finanzierung!$B$3/100/12</f>
        <v>2109.0561312664777</v>
      </c>
      <c r="N80" s="19">
        <f t="shared" si="14"/>
        <v>130.94386873352232</v>
      </c>
      <c r="O80">
        <f>O79*(1+Finanzierung!$B$6/100/12)+$H$3</f>
        <v>89895.396683237414</v>
      </c>
      <c r="S80" s="22">
        <f t="shared" si="9"/>
        <v>6.416666666666667</v>
      </c>
      <c r="T80" s="19">
        <f t="shared" si="10"/>
        <v>-709042.11450788495</v>
      </c>
      <c r="U80" s="19">
        <f t="shared" si="11"/>
        <v>-701000.65254169167</v>
      </c>
    </row>
    <row r="81" spans="1:21" x14ac:dyDescent="0.2">
      <c r="A81">
        <v>78</v>
      </c>
      <c r="B81" s="19">
        <f>Finanzierung!$B$5</f>
        <v>3200.0000000000005</v>
      </c>
      <c r="C81" s="19">
        <f t="shared" si="8"/>
        <v>707732.89347990602</v>
      </c>
      <c r="D81" s="19">
        <f>C81*Finanzierung!$B$3/100/12</f>
        <v>1887.287715946416</v>
      </c>
      <c r="E81" s="19">
        <f t="shared" si="15"/>
        <v>1312.7122840535844</v>
      </c>
      <c r="J81">
        <v>78</v>
      </c>
      <c r="K81" s="19">
        <f t="shared" si="12"/>
        <v>2240</v>
      </c>
      <c r="L81" s="19">
        <f t="shared" si="13"/>
        <v>790765.10535619559</v>
      </c>
      <c r="M81" s="19">
        <f>L81*Finanzierung!$B$3/100/12</f>
        <v>2108.706947616522</v>
      </c>
      <c r="N81" s="19">
        <f t="shared" si="14"/>
        <v>131.29305238347797</v>
      </c>
      <c r="O81">
        <f>O80*(1+Finanzierung!$B$6/100/12)+$H$3</f>
        <v>91304.873666653584</v>
      </c>
      <c r="S81" s="22">
        <f t="shared" si="9"/>
        <v>6.5</v>
      </c>
      <c r="T81" s="19">
        <f t="shared" si="10"/>
        <v>-707732.89347990602</v>
      </c>
      <c r="U81" s="19">
        <f t="shared" si="11"/>
        <v>-699460.23168954207</v>
      </c>
    </row>
    <row r="82" spans="1:21" x14ac:dyDescent="0.2">
      <c r="A82">
        <v>79</v>
      </c>
      <c r="B82" s="19">
        <f>Finanzierung!$B$5</f>
        <v>3200.0000000000005</v>
      </c>
      <c r="C82" s="19">
        <f t="shared" si="8"/>
        <v>706420.18119585246</v>
      </c>
      <c r="D82" s="19">
        <f>C82*Finanzierung!$B$3/100/12</f>
        <v>1883.7871498556067</v>
      </c>
      <c r="E82" s="19">
        <f t="shared" si="15"/>
        <v>1316.2128501443938</v>
      </c>
      <c r="J82">
        <v>79</v>
      </c>
      <c r="K82" s="19">
        <f t="shared" si="12"/>
        <v>2240</v>
      </c>
      <c r="L82" s="19">
        <f t="shared" si="13"/>
        <v>790633.81230381213</v>
      </c>
      <c r="M82" s="19">
        <f>L82*Finanzierung!$B$3/100/12</f>
        <v>2108.356832810166</v>
      </c>
      <c r="N82" s="19">
        <f t="shared" si="14"/>
        <v>131.643167189834</v>
      </c>
      <c r="O82">
        <f>O81*(1+Finanzierung!$B$6/100/12)+$H$3</f>
        <v>92721.398034986836</v>
      </c>
      <c r="S82" s="22">
        <f t="shared" si="9"/>
        <v>6.583333333333333</v>
      </c>
      <c r="T82" s="19">
        <f t="shared" si="10"/>
        <v>-706420.18119585246</v>
      </c>
      <c r="U82" s="19">
        <f t="shared" si="11"/>
        <v>-697912.41426882532</v>
      </c>
    </row>
    <row r="83" spans="1:21" x14ac:dyDescent="0.2">
      <c r="A83">
        <v>80</v>
      </c>
      <c r="B83" s="19">
        <f>Finanzierung!$B$5</f>
        <v>3200.0000000000005</v>
      </c>
      <c r="C83" s="19">
        <f t="shared" si="8"/>
        <v>705103.9683457081</v>
      </c>
      <c r="D83" s="19">
        <f>C83*Finanzierung!$B$3/100/12</f>
        <v>1880.2772489218885</v>
      </c>
      <c r="E83" s="19">
        <f t="shared" si="15"/>
        <v>1319.722751078112</v>
      </c>
      <c r="J83">
        <v>80</v>
      </c>
      <c r="K83" s="19">
        <f t="shared" si="12"/>
        <v>2240</v>
      </c>
      <c r="L83" s="19">
        <f t="shared" si="13"/>
        <v>790502.16913662234</v>
      </c>
      <c r="M83" s="19">
        <f>L83*Finanzierung!$B$3/100/12</f>
        <v>2108.0057843643262</v>
      </c>
      <c r="N83" s="19">
        <f t="shared" si="14"/>
        <v>131.99421563567375</v>
      </c>
      <c r="O83">
        <f>O82*(1+Finanzierung!$B$6/100/12)+$H$3</f>
        <v>94145.005025161765</v>
      </c>
      <c r="S83" s="22">
        <f t="shared" si="9"/>
        <v>6.666666666666667</v>
      </c>
      <c r="T83" s="19">
        <f t="shared" si="10"/>
        <v>-705103.9683457081</v>
      </c>
      <c r="U83" s="19">
        <f t="shared" si="11"/>
        <v>-696357.16411146056</v>
      </c>
    </row>
    <row r="84" spans="1:21" x14ac:dyDescent="0.2">
      <c r="A84">
        <v>81</v>
      </c>
      <c r="B84" s="19">
        <f>Finanzierung!$B$5</f>
        <v>3200.0000000000005</v>
      </c>
      <c r="C84" s="19">
        <f t="shared" si="8"/>
        <v>703784.24559463002</v>
      </c>
      <c r="D84" s="19">
        <f>C84*Finanzierung!$B$3/100/12</f>
        <v>1876.7579882523469</v>
      </c>
      <c r="E84" s="19">
        <f t="shared" si="15"/>
        <v>1323.2420117476536</v>
      </c>
      <c r="J84">
        <v>81</v>
      </c>
      <c r="K84" s="19">
        <f t="shared" si="12"/>
        <v>2240</v>
      </c>
      <c r="L84" s="19">
        <f t="shared" si="13"/>
        <v>790370.17492098664</v>
      </c>
      <c r="M84" s="19">
        <f>L84*Finanzierung!$B$3/100/12</f>
        <v>2107.6537997892979</v>
      </c>
      <c r="N84" s="19">
        <f t="shared" si="14"/>
        <v>132.34620021070214</v>
      </c>
      <c r="O84">
        <f>O83*(1+Finanzierung!$B$6/100/12)+$H$3</f>
        <v>95575.730050287559</v>
      </c>
      <c r="S84" s="22">
        <f t="shared" si="9"/>
        <v>6.75</v>
      </c>
      <c r="T84" s="19">
        <f t="shared" si="10"/>
        <v>-703784.24559463002</v>
      </c>
      <c r="U84" s="19">
        <f t="shared" si="11"/>
        <v>-694794.44487069908</v>
      </c>
    </row>
    <row r="85" spans="1:21" x14ac:dyDescent="0.2">
      <c r="A85">
        <v>82</v>
      </c>
      <c r="B85" s="19">
        <f>Finanzierung!$B$5</f>
        <v>3200.0000000000005</v>
      </c>
      <c r="C85" s="19">
        <f t="shared" si="8"/>
        <v>702461.00358288235</v>
      </c>
      <c r="D85" s="19">
        <f>C85*Finanzierung!$B$3/100/12</f>
        <v>1873.2293428876865</v>
      </c>
      <c r="E85" s="19">
        <f t="shared" si="15"/>
        <v>1326.770657112314</v>
      </c>
      <c r="J85">
        <v>82</v>
      </c>
      <c r="K85" s="19">
        <f t="shared" si="12"/>
        <v>2240</v>
      </c>
      <c r="L85" s="19">
        <f t="shared" si="13"/>
        <v>790237.8287207759</v>
      </c>
      <c r="M85" s="19">
        <f>L85*Finanzierung!$B$3/100/12</f>
        <v>2107.3008765887362</v>
      </c>
      <c r="N85" s="19">
        <f t="shared" si="14"/>
        <v>132.69912341126383</v>
      </c>
      <c r="O85">
        <f>O84*(1+Finanzierung!$B$6/100/12)+$H$3</f>
        <v>97013.608700538985</v>
      </c>
      <c r="S85" s="22">
        <f t="shared" si="9"/>
        <v>6.833333333333333</v>
      </c>
      <c r="T85" s="19">
        <f t="shared" si="10"/>
        <v>-702461.00358288235</v>
      </c>
      <c r="U85" s="19">
        <f t="shared" si="11"/>
        <v>-693224.22002023691</v>
      </c>
    </row>
    <row r="86" spans="1:21" x14ac:dyDescent="0.2">
      <c r="A86">
        <v>83</v>
      </c>
      <c r="B86" s="19">
        <f>Finanzierung!$B$5</f>
        <v>3200.0000000000005</v>
      </c>
      <c r="C86" s="19">
        <f t="shared" si="8"/>
        <v>701134.23292576999</v>
      </c>
      <c r="D86" s="19">
        <f>C86*Finanzierung!$B$3/100/12</f>
        <v>1869.6912878020532</v>
      </c>
      <c r="E86" s="19">
        <f t="shared" si="15"/>
        <v>1330.3087121979472</v>
      </c>
      <c r="J86">
        <v>83</v>
      </c>
      <c r="K86" s="19">
        <f t="shared" si="12"/>
        <v>2240</v>
      </c>
      <c r="L86" s="19">
        <f t="shared" si="13"/>
        <v>790105.12959736469</v>
      </c>
      <c r="M86" s="19">
        <f>L86*Finanzierung!$B$3/100/12</f>
        <v>2106.947012259639</v>
      </c>
      <c r="N86" s="19">
        <f t="shared" si="14"/>
        <v>133.052987740361</v>
      </c>
      <c r="O86">
        <f>O85*(1+Finanzierung!$B$6/100/12)+$H$3</f>
        <v>98458.676744041673</v>
      </c>
      <c r="S86" s="22">
        <f t="shared" si="9"/>
        <v>6.916666666666667</v>
      </c>
      <c r="T86" s="19">
        <f t="shared" si="10"/>
        <v>-701134.23292576999</v>
      </c>
      <c r="U86" s="19">
        <f t="shared" si="11"/>
        <v>-691646.45285332296</v>
      </c>
    </row>
    <row r="87" spans="1:21" x14ac:dyDescent="0.2">
      <c r="A87">
        <v>84</v>
      </c>
      <c r="B87" s="19">
        <f>Finanzierung!$B$5</f>
        <v>3200.0000000000005</v>
      </c>
      <c r="C87" s="19">
        <f t="shared" si="8"/>
        <v>699803.92421357206</v>
      </c>
      <c r="D87" s="19">
        <f>C87*Finanzierung!$B$3/100/12</f>
        <v>1866.1437979028588</v>
      </c>
      <c r="E87" s="19">
        <f t="shared" si="15"/>
        <v>1333.8562020971417</v>
      </c>
      <c r="J87">
        <v>84</v>
      </c>
      <c r="K87" s="19">
        <f t="shared" si="12"/>
        <v>2240</v>
      </c>
      <c r="L87" s="19">
        <f t="shared" si="13"/>
        <v>789972.07660962432</v>
      </c>
      <c r="M87" s="19">
        <f>L87*Finanzierung!$B$3/100/12</f>
        <v>2106.5922042923316</v>
      </c>
      <c r="N87" s="19">
        <f t="shared" si="14"/>
        <v>133.40779570766836</v>
      </c>
      <c r="O87">
        <f>O86*(1+Finanzierung!$B$6/100/12)+$H$3</f>
        <v>99910.970127761873</v>
      </c>
      <c r="S87" s="22">
        <f t="shared" si="9"/>
        <v>7</v>
      </c>
      <c r="T87" s="19">
        <f t="shared" si="10"/>
        <v>-699803.92421357206</v>
      </c>
      <c r="U87" s="19">
        <f t="shared" si="11"/>
        <v>-690061.10648186249</v>
      </c>
    </row>
    <row r="88" spans="1:21" x14ac:dyDescent="0.2">
      <c r="A88">
        <v>85</v>
      </c>
      <c r="B88" s="19">
        <f>Finanzierung!$B$5</f>
        <v>3200.0000000000005</v>
      </c>
      <c r="C88" s="19">
        <f t="shared" si="8"/>
        <v>698470.06801147491</v>
      </c>
      <c r="D88" s="19">
        <f>C88*Finanzierung!$B$3/100/12</f>
        <v>1862.5868480305999</v>
      </c>
      <c r="E88" s="19">
        <f t="shared" si="15"/>
        <v>1337.4131519694006</v>
      </c>
      <c r="J88">
        <v>85</v>
      </c>
      <c r="K88" s="19">
        <f t="shared" si="12"/>
        <v>2240</v>
      </c>
      <c r="L88" s="19">
        <f t="shared" si="13"/>
        <v>789838.66881391662</v>
      </c>
      <c r="M88" s="19">
        <f>L88*Finanzierung!$B$3/100/12</f>
        <v>2106.2364501704446</v>
      </c>
      <c r="N88" s="19">
        <f t="shared" si="14"/>
        <v>133.76354982955536</v>
      </c>
      <c r="O88">
        <f>O87*(1+Finanzierung!$B$6/100/12)+$H$3</f>
        <v>101370.52497840067</v>
      </c>
      <c r="S88" s="22">
        <f t="shared" si="9"/>
        <v>7.083333333333333</v>
      </c>
      <c r="T88" s="19">
        <f t="shared" si="10"/>
        <v>-698470.06801147491</v>
      </c>
      <c r="U88" s="19">
        <f t="shared" si="11"/>
        <v>-688468.14383551595</v>
      </c>
    </row>
    <row r="89" spans="1:21" x14ac:dyDescent="0.2">
      <c r="A89">
        <v>86</v>
      </c>
      <c r="B89" s="19">
        <f>Finanzierung!$B$5</f>
        <v>3200.0000000000005</v>
      </c>
      <c r="C89" s="19">
        <f t="shared" si="8"/>
        <v>697132.65485950548</v>
      </c>
      <c r="D89" s="19">
        <f>C89*Finanzierung!$B$3/100/12</f>
        <v>1859.0204129586816</v>
      </c>
      <c r="E89" s="19">
        <f t="shared" si="15"/>
        <v>1340.9795870413188</v>
      </c>
      <c r="J89">
        <v>86</v>
      </c>
      <c r="K89" s="19">
        <f t="shared" si="12"/>
        <v>2240</v>
      </c>
      <c r="L89" s="19">
        <f t="shared" si="13"/>
        <v>789704.90526408702</v>
      </c>
      <c r="M89" s="19">
        <f>L89*Finanzierung!$B$3/100/12</f>
        <v>2105.8797473708992</v>
      </c>
      <c r="N89" s="19">
        <f t="shared" si="14"/>
        <v>134.12025262910083</v>
      </c>
      <c r="O89">
        <f>O88*(1+Finanzierung!$B$6/100/12)+$H$3</f>
        <v>102837.37760329267</v>
      </c>
      <c r="S89" s="22">
        <f t="shared" si="9"/>
        <v>7.166666666666667</v>
      </c>
      <c r="T89" s="19">
        <f t="shared" si="10"/>
        <v>-697132.65485950548</v>
      </c>
      <c r="U89" s="19">
        <f t="shared" si="11"/>
        <v>-686867.52766079432</v>
      </c>
    </row>
    <row r="90" spans="1:21" x14ac:dyDescent="0.2">
      <c r="A90">
        <v>87</v>
      </c>
      <c r="B90" s="19">
        <f>Finanzierung!$B$5</f>
        <v>3200.0000000000005</v>
      </c>
      <c r="C90" s="19">
        <f t="shared" si="8"/>
        <v>695791.67527246417</v>
      </c>
      <c r="D90" s="19">
        <f>C90*Finanzierung!$B$3/100/12</f>
        <v>1855.4444673932378</v>
      </c>
      <c r="E90" s="19">
        <f t="shared" si="15"/>
        <v>1344.5555326067627</v>
      </c>
      <c r="J90">
        <v>87</v>
      </c>
      <c r="K90" s="19">
        <f t="shared" si="12"/>
        <v>2240</v>
      </c>
      <c r="L90" s="19">
        <f t="shared" si="13"/>
        <v>789570.78501145798</v>
      </c>
      <c r="M90" s="19">
        <f>L90*Finanzierung!$B$3/100/12</f>
        <v>2105.522093363888</v>
      </c>
      <c r="N90" s="19">
        <f t="shared" si="14"/>
        <v>134.47790663611204</v>
      </c>
      <c r="O90">
        <f>O89*(1+Finanzierung!$B$6/100/12)+$H$3</f>
        <v>104311.56449130912</v>
      </c>
      <c r="S90" s="22">
        <f t="shared" si="9"/>
        <v>7.25</v>
      </c>
      <c r="T90" s="19">
        <f t="shared" si="10"/>
        <v>-695791.67527246417</v>
      </c>
      <c r="U90" s="19">
        <f t="shared" si="11"/>
        <v>-685259.22052014887</v>
      </c>
    </row>
    <row r="91" spans="1:21" x14ac:dyDescent="0.2">
      <c r="A91">
        <v>88</v>
      </c>
      <c r="B91" s="19">
        <f>Finanzierung!$B$5</f>
        <v>3200.0000000000005</v>
      </c>
      <c r="C91" s="19">
        <f t="shared" si="8"/>
        <v>694447.11973985739</v>
      </c>
      <c r="D91" s="19">
        <f>C91*Finanzierung!$B$3/100/12</f>
        <v>1851.8589859729534</v>
      </c>
      <c r="E91" s="19">
        <f t="shared" si="15"/>
        <v>1348.141014027047</v>
      </c>
      <c r="J91">
        <v>88</v>
      </c>
      <c r="K91" s="19">
        <f t="shared" si="12"/>
        <v>2240</v>
      </c>
      <c r="L91" s="19">
        <f t="shared" si="13"/>
        <v>789436.3071048219</v>
      </c>
      <c r="M91" s="19">
        <f>L91*Finanzierung!$B$3/100/12</f>
        <v>2105.1634856128585</v>
      </c>
      <c r="N91" s="19">
        <f t="shared" si="14"/>
        <v>134.83651438714151</v>
      </c>
      <c r="O91">
        <f>O90*(1+Finanzierung!$B$6/100/12)+$H$3</f>
        <v>105793.12231376566</v>
      </c>
      <c r="S91" s="22">
        <f t="shared" si="9"/>
        <v>7.333333333333333</v>
      </c>
      <c r="T91" s="19">
        <f t="shared" si="10"/>
        <v>-694447.11973985739</v>
      </c>
      <c r="U91" s="19">
        <f t="shared" si="11"/>
        <v>-683643.18479105621</v>
      </c>
    </row>
    <row r="92" spans="1:21" x14ac:dyDescent="0.2">
      <c r="A92">
        <v>89</v>
      </c>
      <c r="B92" s="19">
        <f>Finanzierung!$B$5</f>
        <v>3200.0000000000005</v>
      </c>
      <c r="C92" s="19">
        <f t="shared" si="8"/>
        <v>693098.97872583033</v>
      </c>
      <c r="D92" s="19">
        <f>C92*Finanzierung!$B$3/100/12</f>
        <v>1848.2639432688811</v>
      </c>
      <c r="E92" s="19">
        <f t="shared" si="15"/>
        <v>1351.7360567311193</v>
      </c>
      <c r="J92">
        <v>89</v>
      </c>
      <c r="K92" s="19">
        <f t="shared" si="12"/>
        <v>2240</v>
      </c>
      <c r="L92" s="19">
        <f t="shared" si="13"/>
        <v>789301.47059043474</v>
      </c>
      <c r="M92" s="19">
        <f>L92*Finanzierung!$B$3/100/12</f>
        <v>2104.8039215744925</v>
      </c>
      <c r="N92" s="19">
        <f t="shared" si="14"/>
        <v>135.19607842550749</v>
      </c>
      <c r="O92">
        <f>O91*(1+Finanzierung!$B$6/100/12)+$H$3</f>
        <v>107282.08792533448</v>
      </c>
      <c r="S92" s="22">
        <f t="shared" si="9"/>
        <v>7.416666666666667</v>
      </c>
      <c r="T92" s="19">
        <f t="shared" si="10"/>
        <v>-693098.97872583033</v>
      </c>
      <c r="U92" s="19">
        <f t="shared" si="11"/>
        <v>-682019.38266510027</v>
      </c>
    </row>
    <row r="93" spans="1:21" x14ac:dyDescent="0.2">
      <c r="A93">
        <v>90</v>
      </c>
      <c r="B93" s="19">
        <f>Finanzierung!$B$5</f>
        <v>3200.0000000000005</v>
      </c>
      <c r="C93" s="19">
        <f t="shared" si="8"/>
        <v>691747.24266909924</v>
      </c>
      <c r="D93" s="19">
        <f>C93*Finanzierung!$B$3/100/12</f>
        <v>1844.6593137842647</v>
      </c>
      <c r="E93" s="19">
        <f t="shared" si="15"/>
        <v>1355.3406862157358</v>
      </c>
      <c r="J93">
        <v>90</v>
      </c>
      <c r="K93" s="19">
        <f t="shared" si="12"/>
        <v>2240</v>
      </c>
      <c r="L93" s="19">
        <f t="shared" si="13"/>
        <v>789166.27451200923</v>
      </c>
      <c r="M93" s="19">
        <f>L93*Finanzierung!$B$3/100/12</f>
        <v>2104.4433986986915</v>
      </c>
      <c r="N93" s="19">
        <f t="shared" si="14"/>
        <v>135.55660130130855</v>
      </c>
      <c r="O93">
        <f>O92*(1+Finanzierung!$B$6/100/12)+$H$3</f>
        <v>108778.49836496114</v>
      </c>
      <c r="S93" s="22">
        <f t="shared" si="9"/>
        <v>7.5</v>
      </c>
      <c r="T93" s="19">
        <f t="shared" si="10"/>
        <v>-691747.24266909924</v>
      </c>
      <c r="U93" s="19">
        <f t="shared" si="11"/>
        <v>-680387.77614704811</v>
      </c>
    </row>
    <row r="94" spans="1:21" x14ac:dyDescent="0.2">
      <c r="A94">
        <v>91</v>
      </c>
      <c r="B94" s="19">
        <f>Finanzierung!$B$5</f>
        <v>3200.0000000000005</v>
      </c>
      <c r="C94" s="19">
        <f t="shared" si="8"/>
        <v>690391.90198288346</v>
      </c>
      <c r="D94" s="19">
        <f>C94*Finanzierung!$B$3/100/12</f>
        <v>1841.0450719543558</v>
      </c>
      <c r="E94" s="19">
        <f t="shared" si="15"/>
        <v>1358.9549280456447</v>
      </c>
      <c r="J94">
        <v>91</v>
      </c>
      <c r="K94" s="19">
        <f t="shared" si="12"/>
        <v>2240</v>
      </c>
      <c r="L94" s="19">
        <f t="shared" si="13"/>
        <v>789030.71791070793</v>
      </c>
      <c r="M94" s="19">
        <f>L94*Finanzierung!$B$3/100/12</f>
        <v>2104.0819144285547</v>
      </c>
      <c r="N94" s="19">
        <f t="shared" si="14"/>
        <v>135.91808557144532</v>
      </c>
      <c r="O94">
        <f>O93*(1+Finanzierung!$B$6/100/12)+$H$3</f>
        <v>110282.39085678593</v>
      </c>
      <c r="S94" s="22">
        <f t="shared" si="9"/>
        <v>7.583333333333333</v>
      </c>
      <c r="T94" s="19">
        <f t="shared" si="10"/>
        <v>-690391.90198288346</v>
      </c>
      <c r="U94" s="19">
        <f t="shared" si="11"/>
        <v>-678748.327053922</v>
      </c>
    </row>
    <row r="95" spans="1:21" x14ac:dyDescent="0.2">
      <c r="A95">
        <v>92</v>
      </c>
      <c r="B95" s="19">
        <f>Finanzierung!$B$5</f>
        <v>3200.0000000000005</v>
      </c>
      <c r="C95" s="19">
        <f t="shared" si="8"/>
        <v>689032.94705483783</v>
      </c>
      <c r="D95" s="19">
        <f>C95*Finanzierung!$B$3/100/12</f>
        <v>1837.4211921462345</v>
      </c>
      <c r="E95" s="19">
        <f t="shared" si="15"/>
        <v>1362.578807853766</v>
      </c>
      <c r="J95">
        <v>92</v>
      </c>
      <c r="K95" s="19">
        <f t="shared" si="12"/>
        <v>2240</v>
      </c>
      <c r="L95" s="19">
        <f t="shared" si="13"/>
        <v>788894.79982513643</v>
      </c>
      <c r="M95" s="19">
        <f>L95*Finanzierung!$B$3/100/12</f>
        <v>2103.719466200364</v>
      </c>
      <c r="N95" s="19">
        <f t="shared" si="14"/>
        <v>136.28053379963603</v>
      </c>
      <c r="O95">
        <f>O94*(1+Finanzierung!$B$6/100/12)+$H$3</f>
        <v>111793.80281106985</v>
      </c>
      <c r="S95" s="22">
        <f t="shared" si="9"/>
        <v>7.666666666666667</v>
      </c>
      <c r="T95" s="19">
        <f t="shared" si="10"/>
        <v>-689032.94705483783</v>
      </c>
      <c r="U95" s="19">
        <f t="shared" si="11"/>
        <v>-677100.99701406655</v>
      </c>
    </row>
    <row r="96" spans="1:21" x14ac:dyDescent="0.2">
      <c r="A96">
        <v>93</v>
      </c>
      <c r="B96" s="19">
        <f>Finanzierung!$B$5</f>
        <v>3200.0000000000005</v>
      </c>
      <c r="C96" s="19">
        <f t="shared" si="8"/>
        <v>687670.36824698409</v>
      </c>
      <c r="D96" s="19">
        <f>C96*Finanzierung!$B$3/100/12</f>
        <v>1833.7876486586244</v>
      </c>
      <c r="E96" s="19">
        <f t="shared" si="15"/>
        <v>1366.212351341376</v>
      </c>
      <c r="J96">
        <v>93</v>
      </c>
      <c r="K96" s="19">
        <f t="shared" si="12"/>
        <v>2240</v>
      </c>
      <c r="L96" s="19">
        <f t="shared" si="13"/>
        <v>788758.51929133676</v>
      </c>
      <c r="M96" s="19">
        <f>L96*Finanzierung!$B$3/100/12</f>
        <v>2103.3560514435649</v>
      </c>
      <c r="N96" s="19">
        <f t="shared" si="14"/>
        <v>136.64394855643513</v>
      </c>
      <c r="O96">
        <f>O95*(1+Finanzierung!$B$6/100/12)+$H$3</f>
        <v>113312.77182512519</v>
      </c>
      <c r="S96" s="22">
        <f t="shared" si="9"/>
        <v>7.75</v>
      </c>
      <c r="T96" s="19">
        <f t="shared" si="10"/>
        <v>-687670.36824698409</v>
      </c>
      <c r="U96" s="19">
        <f t="shared" si="11"/>
        <v>-675445.74746621156</v>
      </c>
    </row>
    <row r="97" spans="1:21" x14ac:dyDescent="0.2">
      <c r="A97">
        <v>94</v>
      </c>
      <c r="B97" s="19">
        <f>Finanzierung!$B$5</f>
        <v>3200.0000000000005</v>
      </c>
      <c r="C97" s="19">
        <f t="shared" si="8"/>
        <v>686304.1558956427</v>
      </c>
      <c r="D97" s="19">
        <f>C97*Finanzierung!$B$3/100/12</f>
        <v>1830.144415721714</v>
      </c>
      <c r="E97" s="19">
        <f t="shared" si="15"/>
        <v>1369.8555842782864</v>
      </c>
      <c r="J97">
        <v>94</v>
      </c>
      <c r="K97" s="19">
        <f t="shared" si="12"/>
        <v>2240</v>
      </c>
      <c r="L97" s="19">
        <f t="shared" si="13"/>
        <v>788621.87534278037</v>
      </c>
      <c r="M97" s="19">
        <f>L97*Finanzierung!$B$3/100/12</f>
        <v>2102.9916675807476</v>
      </c>
      <c r="N97" s="19">
        <f t="shared" si="14"/>
        <v>137.00833241925238</v>
      </c>
      <c r="O97">
        <f>O96*(1+Finanzierung!$B$6/100/12)+$H$3</f>
        <v>114839.33568425081</v>
      </c>
      <c r="S97" s="22">
        <f t="shared" si="9"/>
        <v>7.833333333333333</v>
      </c>
      <c r="T97" s="19">
        <f t="shared" si="10"/>
        <v>-686304.1558956427</v>
      </c>
      <c r="U97" s="19">
        <f t="shared" si="11"/>
        <v>-673782.53965852957</v>
      </c>
    </row>
    <row r="98" spans="1:21" x14ac:dyDescent="0.2">
      <c r="A98">
        <v>95</v>
      </c>
      <c r="B98" s="19">
        <f>Finanzierung!$B$5</f>
        <v>3200.0000000000005</v>
      </c>
      <c r="C98" s="19">
        <f t="shared" si="8"/>
        <v>684934.30031136447</v>
      </c>
      <c r="D98" s="19">
        <f>C98*Finanzierung!$B$3/100/12</f>
        <v>1826.4914674969721</v>
      </c>
      <c r="E98" s="19">
        <f t="shared" si="15"/>
        <v>1373.5085325030284</v>
      </c>
      <c r="J98">
        <v>95</v>
      </c>
      <c r="K98" s="19">
        <f t="shared" si="12"/>
        <v>2240</v>
      </c>
      <c r="L98" s="19">
        <f t="shared" si="13"/>
        <v>788484.86701036117</v>
      </c>
      <c r="M98" s="19">
        <f>L98*Finanzierung!$B$3/100/12</f>
        <v>2102.6263120276299</v>
      </c>
      <c r="N98" s="19">
        <f t="shared" si="14"/>
        <v>137.37368797237013</v>
      </c>
      <c r="O98">
        <f>O97*(1+Finanzierung!$B$6/100/12)+$H$3</f>
        <v>116373.53236267205</v>
      </c>
      <c r="S98" s="22">
        <f t="shared" si="9"/>
        <v>7.916666666666667</v>
      </c>
      <c r="T98" s="19">
        <f t="shared" si="10"/>
        <v>-684934.30031136447</v>
      </c>
      <c r="U98" s="19">
        <f t="shared" si="11"/>
        <v>-672111.33464768913</v>
      </c>
    </row>
    <row r="99" spans="1:21" x14ac:dyDescent="0.2">
      <c r="A99">
        <v>96</v>
      </c>
      <c r="B99" s="19">
        <f>Finanzierung!$B$5</f>
        <v>3200.0000000000005</v>
      </c>
      <c r="C99" s="19">
        <f t="shared" si="8"/>
        <v>683560.79177886143</v>
      </c>
      <c r="D99" s="19">
        <f>C99*Finanzierung!$B$3/100/12</f>
        <v>1822.828778076964</v>
      </c>
      <c r="E99" s="19">
        <f t="shared" si="15"/>
        <v>1377.1712219230365</v>
      </c>
      <c r="J99">
        <v>96</v>
      </c>
      <c r="K99" s="19">
        <f t="shared" si="12"/>
        <v>2240</v>
      </c>
      <c r="L99" s="19">
        <f t="shared" si="13"/>
        <v>788347.49332238885</v>
      </c>
      <c r="M99" s="19">
        <f>L99*Finanzierung!$B$3/100/12</f>
        <v>2102.2599821930371</v>
      </c>
      <c r="N99" s="19">
        <f t="shared" si="14"/>
        <v>137.7400178069629</v>
      </c>
      <c r="O99">
        <f>O98*(1+Finanzierung!$B$6/100/12)+$H$3</f>
        <v>117915.4000244854</v>
      </c>
      <c r="S99" s="22">
        <f t="shared" si="9"/>
        <v>8</v>
      </c>
      <c r="T99" s="19">
        <f t="shared" si="10"/>
        <v>-683560.79177886143</v>
      </c>
      <c r="U99" s="19">
        <f t="shared" si="11"/>
        <v>-670432.09329790343</v>
      </c>
    </row>
    <row r="100" spans="1:21" x14ac:dyDescent="0.2">
      <c r="A100">
        <v>97</v>
      </c>
      <c r="B100" s="19">
        <f>Finanzierung!$B$5</f>
        <v>3200.0000000000005</v>
      </c>
      <c r="C100" s="19">
        <f t="shared" si="8"/>
        <v>682183.62055693835</v>
      </c>
      <c r="D100" s="19">
        <f>C100*Finanzierung!$B$3/100/12</f>
        <v>1819.1563214851692</v>
      </c>
      <c r="E100" s="19">
        <f t="shared" si="15"/>
        <v>1380.8436785148313</v>
      </c>
      <c r="J100">
        <v>97</v>
      </c>
      <c r="K100" s="19">
        <f t="shared" si="12"/>
        <v>2240</v>
      </c>
      <c r="L100" s="19">
        <f t="shared" si="13"/>
        <v>788209.75330458186</v>
      </c>
      <c r="M100" s="19">
        <f>L100*Finanzierung!$B$3/100/12</f>
        <v>2101.8926754788854</v>
      </c>
      <c r="N100" s="19">
        <f t="shared" si="14"/>
        <v>138.10732452111461</v>
      </c>
      <c r="O100">
        <f>O99*(1+Finanzierung!$B$6/100/12)+$H$3</f>
        <v>119464.97702460781</v>
      </c>
      <c r="S100" s="22">
        <f t="shared" si="9"/>
        <v>8.0833333333333339</v>
      </c>
      <c r="T100" s="19">
        <f t="shared" si="10"/>
        <v>-682183.62055693835</v>
      </c>
      <c r="U100" s="19">
        <f t="shared" si="11"/>
        <v>-668744.77627997403</v>
      </c>
    </row>
    <row r="101" spans="1:21" x14ac:dyDescent="0.2">
      <c r="A101">
        <v>98</v>
      </c>
      <c r="B101" s="19">
        <f>Finanzierung!$B$5</f>
        <v>3200.0000000000005</v>
      </c>
      <c r="C101" s="19">
        <f t="shared" si="8"/>
        <v>680802.77687842352</v>
      </c>
      <c r="D101" s="19">
        <f>C101*Finanzierung!$B$3/100/12</f>
        <v>1815.4740716757963</v>
      </c>
      <c r="E101" s="19">
        <f t="shared" si="15"/>
        <v>1384.5259283242042</v>
      </c>
      <c r="J101">
        <v>98</v>
      </c>
      <c r="K101" s="19">
        <f t="shared" si="12"/>
        <v>2240</v>
      </c>
      <c r="L101" s="19">
        <f t="shared" si="13"/>
        <v>788071.6459800608</v>
      </c>
      <c r="M101" s="19">
        <f>L101*Finanzierung!$B$3/100/12</f>
        <v>2101.5243892801623</v>
      </c>
      <c r="N101" s="19">
        <f t="shared" si="14"/>
        <v>138.47561071983773</v>
      </c>
      <c r="O101">
        <f>O100*(1+Finanzierung!$B$6/100/12)+$H$3</f>
        <v>121022.30190973084</v>
      </c>
      <c r="S101" s="22">
        <f t="shared" si="9"/>
        <v>8.1666666666666661</v>
      </c>
      <c r="T101" s="19">
        <f t="shared" si="10"/>
        <v>-680802.77687842352</v>
      </c>
      <c r="U101" s="19">
        <f t="shared" si="11"/>
        <v>-667049.34407032991</v>
      </c>
    </row>
    <row r="102" spans="1:21" x14ac:dyDescent="0.2">
      <c r="A102">
        <v>99</v>
      </c>
      <c r="B102" s="19">
        <f>Finanzierung!$B$5</f>
        <v>3200.0000000000005</v>
      </c>
      <c r="C102" s="19">
        <f t="shared" si="8"/>
        <v>679418.25095009932</v>
      </c>
      <c r="D102" s="19">
        <f>C102*Finanzierung!$B$3/100/12</f>
        <v>1811.782002533598</v>
      </c>
      <c r="E102" s="19">
        <f t="shared" si="15"/>
        <v>1388.2179974664025</v>
      </c>
      <c r="J102">
        <v>99</v>
      </c>
      <c r="K102" s="19">
        <f t="shared" si="12"/>
        <v>2240</v>
      </c>
      <c r="L102" s="19">
        <f t="shared" si="13"/>
        <v>787933.17036934092</v>
      </c>
      <c r="M102" s="19">
        <f>L102*Finanzierung!$B$3/100/12</f>
        <v>2101.155120984909</v>
      </c>
      <c r="N102" s="19">
        <f t="shared" si="14"/>
        <v>138.84487901509101</v>
      </c>
      <c r="O102">
        <f>O101*(1+Finanzierung!$B$6/100/12)+$H$3</f>
        <v>122587.41341927949</v>
      </c>
      <c r="S102" s="22">
        <f t="shared" si="9"/>
        <v>8.25</v>
      </c>
      <c r="T102" s="19">
        <f t="shared" si="10"/>
        <v>-679418.25095009932</v>
      </c>
      <c r="U102" s="19">
        <f t="shared" si="11"/>
        <v>-665345.75695006142</v>
      </c>
    </row>
    <row r="103" spans="1:21" x14ac:dyDescent="0.2">
      <c r="A103">
        <v>100</v>
      </c>
      <c r="B103" s="19">
        <f>Finanzierung!$B$5</f>
        <v>3200.0000000000005</v>
      </c>
      <c r="C103" s="19">
        <f t="shared" si="8"/>
        <v>678030.03295263287</v>
      </c>
      <c r="D103" s="19">
        <f>C103*Finanzierung!$B$3/100/12</f>
        <v>1808.0800878736879</v>
      </c>
      <c r="E103" s="19">
        <f t="shared" si="15"/>
        <v>1391.9199121263125</v>
      </c>
      <c r="J103">
        <v>100</v>
      </c>
      <c r="K103" s="19">
        <f t="shared" si="12"/>
        <v>2240</v>
      </c>
      <c r="L103" s="19">
        <f t="shared" si="13"/>
        <v>787794.32549032581</v>
      </c>
      <c r="M103" s="19">
        <f>L103*Finanzierung!$B$3/100/12</f>
        <v>2100.7848679742024</v>
      </c>
      <c r="N103" s="19">
        <f t="shared" si="14"/>
        <v>139.21513202579763</v>
      </c>
      <c r="O103">
        <f>O102*(1+Finanzierung!$B$6/100/12)+$H$3</f>
        <v>124160.35048637587</v>
      </c>
      <c r="S103" s="22">
        <f t="shared" si="9"/>
        <v>8.3333333333333339</v>
      </c>
      <c r="T103" s="19">
        <f t="shared" si="10"/>
        <v>-678030.03295263287</v>
      </c>
      <c r="U103" s="19">
        <f t="shared" si="11"/>
        <v>-663633.97500394995</v>
      </c>
    </row>
    <row r="104" spans="1:21" x14ac:dyDescent="0.2">
      <c r="A104">
        <v>101</v>
      </c>
      <c r="B104" s="19">
        <f>Finanzierung!$B$5</f>
        <v>3200.0000000000005</v>
      </c>
      <c r="C104" s="19">
        <f t="shared" si="8"/>
        <v>676638.11304050661</v>
      </c>
      <c r="D104" s="19">
        <f>C104*Finanzierung!$B$3/100/12</f>
        <v>1804.3683014413509</v>
      </c>
      <c r="E104" s="19">
        <f t="shared" si="15"/>
        <v>1395.6316985586495</v>
      </c>
      <c r="J104">
        <v>101</v>
      </c>
      <c r="K104" s="19">
        <f t="shared" si="12"/>
        <v>2240</v>
      </c>
      <c r="L104" s="19">
        <f t="shared" si="13"/>
        <v>787655.11035830004</v>
      </c>
      <c r="M104" s="19">
        <f>L104*Finanzierung!$B$3/100/12</f>
        <v>2100.4136276221338</v>
      </c>
      <c r="N104" s="19">
        <f t="shared" si="14"/>
        <v>139.58637237786616</v>
      </c>
      <c r="O104">
        <f>O103*(1+Finanzierung!$B$6/100/12)+$H$3</f>
        <v>125741.15223880774</v>
      </c>
      <c r="S104" s="22">
        <f t="shared" si="9"/>
        <v>8.4166666666666661</v>
      </c>
      <c r="T104" s="19">
        <f t="shared" si="10"/>
        <v>-676638.11304050661</v>
      </c>
      <c r="U104" s="19">
        <f t="shared" si="11"/>
        <v>-661913.95811949228</v>
      </c>
    </row>
    <row r="105" spans="1:21" x14ac:dyDescent="0.2">
      <c r="A105">
        <v>102</v>
      </c>
      <c r="B105" s="19">
        <f>Finanzierung!$B$5</f>
        <v>3200.0000000000005</v>
      </c>
      <c r="C105" s="19">
        <f t="shared" si="8"/>
        <v>675242.48134194792</v>
      </c>
      <c r="D105" s="19">
        <f>C105*Finanzierung!$B$3/100/12</f>
        <v>1800.6466169118612</v>
      </c>
      <c r="E105" s="19">
        <f t="shared" si="15"/>
        <v>1399.3533830881393</v>
      </c>
      <c r="J105">
        <v>102</v>
      </c>
      <c r="K105" s="19">
        <f t="shared" si="12"/>
        <v>2240</v>
      </c>
      <c r="L105" s="19">
        <f t="shared" si="13"/>
        <v>787515.52398592222</v>
      </c>
      <c r="M105" s="19">
        <f>L105*Finanzierung!$B$3/100/12</f>
        <v>2100.0413972957926</v>
      </c>
      <c r="N105" s="19">
        <f t="shared" si="14"/>
        <v>139.95860270420735</v>
      </c>
      <c r="O105">
        <f>O104*(1+Finanzierung!$B$6/100/12)+$H$3</f>
        <v>127329.85800000177</v>
      </c>
      <c r="S105" s="22">
        <f t="shared" si="9"/>
        <v>8.5</v>
      </c>
      <c r="T105" s="19">
        <f t="shared" si="10"/>
        <v>-675242.48134194792</v>
      </c>
      <c r="U105" s="19">
        <f t="shared" si="11"/>
        <v>-660185.66598592047</v>
      </c>
    </row>
    <row r="106" spans="1:21" x14ac:dyDescent="0.2">
      <c r="A106">
        <v>103</v>
      </c>
      <c r="B106" s="19">
        <f>Finanzierung!$B$5</f>
        <v>3200.0000000000005</v>
      </c>
      <c r="C106" s="19">
        <f t="shared" si="8"/>
        <v>673843.12795885978</v>
      </c>
      <c r="D106" s="19">
        <f>C106*Finanzierung!$B$3/100/12</f>
        <v>1796.9150078902931</v>
      </c>
      <c r="E106" s="19">
        <f t="shared" si="15"/>
        <v>1403.0849921097074</v>
      </c>
      <c r="J106">
        <v>103</v>
      </c>
      <c r="K106" s="19">
        <f t="shared" si="12"/>
        <v>2240</v>
      </c>
      <c r="L106" s="19">
        <f t="shared" si="13"/>
        <v>787375.565383218</v>
      </c>
      <c r="M106" s="19">
        <f>L106*Finanzierung!$B$3/100/12</f>
        <v>2099.6681743552481</v>
      </c>
      <c r="N106" s="19">
        <f t="shared" si="14"/>
        <v>140.33182564475192</v>
      </c>
      <c r="O106">
        <f>O105*(1+Finanzierung!$B$6/100/12)+$H$3</f>
        <v>128926.50729000177</v>
      </c>
      <c r="S106" s="22">
        <f t="shared" si="9"/>
        <v>8.5833333333333339</v>
      </c>
      <c r="T106" s="19">
        <f t="shared" si="10"/>
        <v>-673843.12795885978</v>
      </c>
      <c r="U106" s="19">
        <f t="shared" si="11"/>
        <v>-658449.05809321627</v>
      </c>
    </row>
    <row r="107" spans="1:21" x14ac:dyDescent="0.2">
      <c r="A107">
        <v>104</v>
      </c>
      <c r="B107" s="19">
        <f>Finanzierung!$B$5</f>
        <v>3200.0000000000005</v>
      </c>
      <c r="C107" s="19">
        <f t="shared" si="8"/>
        <v>672440.0429667501</v>
      </c>
      <c r="D107" s="19">
        <f>C107*Finanzierung!$B$3/100/12</f>
        <v>1793.1734479113338</v>
      </c>
      <c r="E107" s="19">
        <f t="shared" si="15"/>
        <v>1406.8265520886666</v>
      </c>
      <c r="J107">
        <v>104</v>
      </c>
      <c r="K107" s="19">
        <f t="shared" si="12"/>
        <v>2240</v>
      </c>
      <c r="L107" s="19">
        <f t="shared" si="13"/>
        <v>787235.23355757329</v>
      </c>
      <c r="M107" s="19">
        <f>L107*Finanzierung!$B$3/100/12</f>
        <v>2099.2939561535291</v>
      </c>
      <c r="N107" s="19">
        <f t="shared" si="14"/>
        <v>140.70604384647095</v>
      </c>
      <c r="O107">
        <f>O106*(1+Finanzierung!$B$6/100/12)+$H$3</f>
        <v>130531.13982645176</v>
      </c>
      <c r="S107" s="22">
        <f t="shared" si="9"/>
        <v>8.6666666666666661</v>
      </c>
      <c r="T107" s="19">
        <f t="shared" si="10"/>
        <v>-672440.0429667501</v>
      </c>
      <c r="U107" s="19">
        <f t="shared" si="11"/>
        <v>-656704.09373112151</v>
      </c>
    </row>
    <row r="108" spans="1:21" x14ac:dyDescent="0.2">
      <c r="A108">
        <v>105</v>
      </c>
      <c r="B108" s="19">
        <f>Finanzierung!$B$5</f>
        <v>3200.0000000000005</v>
      </c>
      <c r="C108" s="19">
        <f t="shared" si="8"/>
        <v>671033.21641466138</v>
      </c>
      <c r="D108" s="19">
        <f>C108*Finanzierung!$B$3/100/12</f>
        <v>1789.421910439097</v>
      </c>
      <c r="E108" s="19">
        <f t="shared" si="15"/>
        <v>1410.5780895609034</v>
      </c>
      <c r="J108">
        <v>105</v>
      </c>
      <c r="K108" s="19">
        <f t="shared" si="12"/>
        <v>2240</v>
      </c>
      <c r="L108" s="19">
        <f t="shared" si="13"/>
        <v>787094.52751372685</v>
      </c>
      <c r="M108" s="19">
        <f>L108*Finanzierung!$B$3/100/12</f>
        <v>2098.918740036605</v>
      </c>
      <c r="N108" s="19">
        <f t="shared" si="14"/>
        <v>141.08125996339504</v>
      </c>
      <c r="O108">
        <f>O107*(1+Finanzierung!$B$6/100/12)+$H$3</f>
        <v>132143.79552558402</v>
      </c>
      <c r="S108" s="22">
        <f t="shared" si="9"/>
        <v>8.75</v>
      </c>
      <c r="T108" s="19">
        <f t="shared" si="10"/>
        <v>-671033.21641466138</v>
      </c>
      <c r="U108" s="19">
        <f t="shared" si="11"/>
        <v>-654950.73198814283</v>
      </c>
    </row>
    <row r="109" spans="1:21" x14ac:dyDescent="0.2">
      <c r="A109">
        <v>106</v>
      </c>
      <c r="B109" s="19">
        <f>Finanzierung!$B$5</f>
        <v>3200.0000000000005</v>
      </c>
      <c r="C109" s="19">
        <f t="shared" si="8"/>
        <v>669622.63832510053</v>
      </c>
      <c r="D109" s="19">
        <f>C109*Finanzierung!$B$3/100/12</f>
        <v>1785.6603688669347</v>
      </c>
      <c r="E109" s="19">
        <f t="shared" si="15"/>
        <v>1414.3396311330657</v>
      </c>
      <c r="J109">
        <v>106</v>
      </c>
      <c r="K109" s="19">
        <f t="shared" si="12"/>
        <v>2240</v>
      </c>
      <c r="L109" s="19">
        <f t="shared" si="13"/>
        <v>786953.4462537634</v>
      </c>
      <c r="M109" s="19">
        <f>L109*Finanzierung!$B$3/100/12</f>
        <v>2098.5425233433693</v>
      </c>
      <c r="N109" s="19">
        <f t="shared" si="14"/>
        <v>141.45747665663066</v>
      </c>
      <c r="O109">
        <f>O108*(1+Finanzierung!$B$6/100/12)+$H$3</f>
        <v>133764.51450321192</v>
      </c>
      <c r="S109" s="22">
        <f t="shared" si="9"/>
        <v>8.8333333333333339</v>
      </c>
      <c r="T109" s="19">
        <f t="shared" si="10"/>
        <v>-669622.63832510053</v>
      </c>
      <c r="U109" s="19">
        <f t="shared" si="11"/>
        <v>-653188.93175055145</v>
      </c>
    </row>
    <row r="110" spans="1:21" x14ac:dyDescent="0.2">
      <c r="A110">
        <v>107</v>
      </c>
      <c r="B110" s="19">
        <f>Finanzierung!$B$5</f>
        <v>3200.0000000000005</v>
      </c>
      <c r="C110" s="19">
        <f t="shared" si="8"/>
        <v>668208.29869396752</v>
      </c>
      <c r="D110" s="19">
        <f>C110*Finanzierung!$B$3/100/12</f>
        <v>1781.8887965172469</v>
      </c>
      <c r="E110" s="19">
        <f t="shared" si="15"/>
        <v>1418.1112034827536</v>
      </c>
      <c r="J110">
        <v>107</v>
      </c>
      <c r="K110" s="19">
        <f t="shared" si="12"/>
        <v>2240</v>
      </c>
      <c r="L110" s="19">
        <f t="shared" si="13"/>
        <v>786811.98877710674</v>
      </c>
      <c r="M110" s="19">
        <f>L110*Finanzierung!$B$3/100/12</f>
        <v>2098.165303405618</v>
      </c>
      <c r="N110" s="19">
        <f t="shared" si="14"/>
        <v>141.83469659438197</v>
      </c>
      <c r="O110">
        <f>O109*(1+Finanzierung!$B$6/100/12)+$H$3</f>
        <v>135393.33707572796</v>
      </c>
      <c r="S110" s="22">
        <f t="shared" si="9"/>
        <v>8.9166666666666661</v>
      </c>
      <c r="T110" s="19">
        <f t="shared" si="10"/>
        <v>-668208.29869396752</v>
      </c>
      <c r="U110" s="19">
        <f t="shared" si="11"/>
        <v>-651418.65170137875</v>
      </c>
    </row>
    <row r="111" spans="1:21" x14ac:dyDescent="0.2">
      <c r="A111">
        <v>108</v>
      </c>
      <c r="B111" s="19">
        <f>Finanzierung!$B$5</f>
        <v>3200.0000000000005</v>
      </c>
      <c r="C111" s="19">
        <f t="shared" si="8"/>
        <v>666790.18749048479</v>
      </c>
      <c r="D111" s="19">
        <f>C111*Finanzierung!$B$3/100/12</f>
        <v>1778.1071666412929</v>
      </c>
      <c r="E111" s="19">
        <f t="shared" si="15"/>
        <v>1421.8928333587075</v>
      </c>
      <c r="J111">
        <v>108</v>
      </c>
      <c r="K111" s="19">
        <f t="shared" si="12"/>
        <v>2240</v>
      </c>
      <c r="L111" s="19">
        <f t="shared" si="13"/>
        <v>786670.15408051235</v>
      </c>
      <c r="M111" s="19">
        <f>L111*Finanzierung!$B$3/100/12</f>
        <v>2097.7870775480333</v>
      </c>
      <c r="N111" s="19">
        <f t="shared" si="14"/>
        <v>142.21292245196673</v>
      </c>
      <c r="O111">
        <f>O110*(1+Finanzierung!$B$6/100/12)+$H$3</f>
        <v>137030.3037611066</v>
      </c>
      <c r="S111" s="22">
        <f t="shared" si="9"/>
        <v>9</v>
      </c>
      <c r="T111" s="19">
        <f t="shared" si="10"/>
        <v>-666790.18749048479</v>
      </c>
      <c r="U111" s="19">
        <f t="shared" si="11"/>
        <v>-649639.85031940578</v>
      </c>
    </row>
    <row r="112" spans="1:21" x14ac:dyDescent="0.2">
      <c r="A112">
        <v>109</v>
      </c>
      <c r="B112" s="19">
        <f>Finanzierung!$B$5</f>
        <v>3200.0000000000005</v>
      </c>
      <c r="C112" s="19">
        <f t="shared" si="8"/>
        <v>665368.29465712607</v>
      </c>
      <c r="D112" s="19">
        <f>C112*Finanzierung!$B$3/100/12</f>
        <v>1774.3154524190029</v>
      </c>
      <c r="E112" s="19">
        <f t="shared" si="15"/>
        <v>1425.6845475809976</v>
      </c>
      <c r="J112">
        <v>109</v>
      </c>
      <c r="K112" s="19">
        <f t="shared" si="12"/>
        <v>2240</v>
      </c>
      <c r="L112" s="19">
        <f t="shared" si="13"/>
        <v>786527.94115806033</v>
      </c>
      <c r="M112" s="19">
        <f>L112*Finanzierung!$B$3/100/12</f>
        <v>2097.4078430881614</v>
      </c>
      <c r="N112" s="19">
        <f t="shared" si="14"/>
        <v>142.59215691183863</v>
      </c>
      <c r="O112">
        <f>O111*(1+Finanzierung!$B$6/100/12)+$H$3</f>
        <v>138675.4552799121</v>
      </c>
      <c r="S112" s="22">
        <f t="shared" si="9"/>
        <v>9.0833333333333339</v>
      </c>
      <c r="T112" s="19">
        <f t="shared" si="10"/>
        <v>-665368.29465712607</v>
      </c>
      <c r="U112" s="19">
        <f t="shared" si="11"/>
        <v>-647852.48587814823</v>
      </c>
    </row>
    <row r="113" spans="1:21" x14ac:dyDescent="0.2">
      <c r="A113">
        <v>110</v>
      </c>
      <c r="B113" s="19">
        <f>Finanzierung!$B$5</f>
        <v>3200.0000000000005</v>
      </c>
      <c r="C113" s="19">
        <f t="shared" si="8"/>
        <v>663942.61010954506</v>
      </c>
      <c r="D113" s="19">
        <f>C113*Finanzierung!$B$3/100/12</f>
        <v>1770.5136269587867</v>
      </c>
      <c r="E113" s="19">
        <f t="shared" si="15"/>
        <v>1429.4863730412137</v>
      </c>
      <c r="J113">
        <v>110</v>
      </c>
      <c r="K113" s="19">
        <f t="shared" si="12"/>
        <v>2240</v>
      </c>
      <c r="L113" s="19">
        <f t="shared" si="13"/>
        <v>786385.34900114848</v>
      </c>
      <c r="M113" s="19">
        <f>L113*Finanzierung!$B$3/100/12</f>
        <v>2097.0275973363964</v>
      </c>
      <c r="N113" s="19">
        <f t="shared" si="14"/>
        <v>142.97240266360359</v>
      </c>
      <c r="O113">
        <f>O112*(1+Finanzierung!$B$6/100/12)+$H$3</f>
        <v>140328.83255631165</v>
      </c>
      <c r="S113" s="22">
        <f t="shared" si="9"/>
        <v>9.1666666666666661</v>
      </c>
      <c r="T113" s="19">
        <f t="shared" si="10"/>
        <v>-663942.61010954506</v>
      </c>
      <c r="U113" s="19">
        <f t="shared" si="11"/>
        <v>-646056.51644483686</v>
      </c>
    </row>
    <row r="114" spans="1:21" x14ac:dyDescent="0.2">
      <c r="A114">
        <v>111</v>
      </c>
      <c r="B114" s="19">
        <f>Finanzierung!$B$5</f>
        <v>3200.0000000000005</v>
      </c>
      <c r="C114" s="19">
        <f t="shared" si="8"/>
        <v>662513.12373650388</v>
      </c>
      <c r="D114" s="19">
        <f>C114*Finanzierung!$B$3/100/12</f>
        <v>1766.7016632973437</v>
      </c>
      <c r="E114" s="19">
        <f t="shared" si="15"/>
        <v>1433.2983367026568</v>
      </c>
      <c r="J114">
        <v>111</v>
      </c>
      <c r="K114" s="19">
        <f t="shared" si="12"/>
        <v>2240</v>
      </c>
      <c r="L114" s="19">
        <f t="shared" si="13"/>
        <v>786242.37659848493</v>
      </c>
      <c r="M114" s="19">
        <f>L114*Finanzierung!$B$3/100/12</f>
        <v>2096.6463375959597</v>
      </c>
      <c r="N114" s="19">
        <f t="shared" si="14"/>
        <v>143.35366240404028</v>
      </c>
      <c r="O114">
        <f>O113*(1+Finanzierung!$B$6/100/12)+$H$3</f>
        <v>141990.47671909319</v>
      </c>
      <c r="S114" s="22">
        <f t="shared" si="9"/>
        <v>9.25</v>
      </c>
      <c r="T114" s="19">
        <f t="shared" si="10"/>
        <v>-662513.12373650388</v>
      </c>
      <c r="U114" s="19">
        <f t="shared" si="11"/>
        <v>-644251.89987939177</v>
      </c>
    </row>
    <row r="115" spans="1:21" x14ac:dyDescent="0.2">
      <c r="A115">
        <v>112</v>
      </c>
      <c r="B115" s="19">
        <f>Finanzierung!$B$5</f>
        <v>3200.0000000000005</v>
      </c>
      <c r="C115" s="19">
        <f t="shared" si="8"/>
        <v>661079.82539980125</v>
      </c>
      <c r="D115" s="19">
        <f>C115*Finanzierung!$B$3/100/12</f>
        <v>1762.8795343994705</v>
      </c>
      <c r="E115" s="19">
        <f t="shared" si="15"/>
        <v>1437.12046560053</v>
      </c>
      <c r="J115">
        <v>112</v>
      </c>
      <c r="K115" s="19">
        <f t="shared" si="12"/>
        <v>2240</v>
      </c>
      <c r="L115" s="19">
        <f t="shared" si="13"/>
        <v>786099.02293608093</v>
      </c>
      <c r="M115" s="19">
        <f>L115*Finanzierung!$B$3/100/12</f>
        <v>2096.2640611628826</v>
      </c>
      <c r="N115" s="19">
        <f t="shared" si="14"/>
        <v>143.73593883711737</v>
      </c>
      <c r="O115">
        <f>O114*(1+Finanzierung!$B$6/100/12)+$H$3</f>
        <v>143660.42910268865</v>
      </c>
      <c r="S115" s="22">
        <f t="shared" si="9"/>
        <v>9.3333333333333339</v>
      </c>
      <c r="T115" s="19">
        <f t="shared" si="10"/>
        <v>-661079.82539980125</v>
      </c>
      <c r="U115" s="19">
        <f t="shared" si="11"/>
        <v>-642438.59383339225</v>
      </c>
    </row>
    <row r="116" spans="1:21" x14ac:dyDescent="0.2">
      <c r="A116">
        <v>113</v>
      </c>
      <c r="B116" s="19">
        <f>Finanzierung!$B$5</f>
        <v>3200.0000000000005</v>
      </c>
      <c r="C116" s="19">
        <f t="shared" si="8"/>
        <v>659642.70493420074</v>
      </c>
      <c r="D116" s="19">
        <f>C116*Finanzierung!$B$3/100/12</f>
        <v>1759.0472131578688</v>
      </c>
      <c r="E116" s="19">
        <f t="shared" si="15"/>
        <v>1440.9527868421317</v>
      </c>
      <c r="J116">
        <v>113</v>
      </c>
      <c r="K116" s="19">
        <f t="shared" si="12"/>
        <v>2240</v>
      </c>
      <c r="L116" s="19">
        <f t="shared" si="13"/>
        <v>785955.28699724376</v>
      </c>
      <c r="M116" s="19">
        <f>L116*Finanzierung!$B$3/100/12</f>
        <v>2095.8807653259832</v>
      </c>
      <c r="N116" s="19">
        <f t="shared" si="14"/>
        <v>144.11923467401675</v>
      </c>
      <c r="O116">
        <f>O115*(1+Finanzierung!$B$6/100/12)+$H$3</f>
        <v>145338.73124820206</v>
      </c>
      <c r="S116" s="22">
        <f t="shared" si="9"/>
        <v>9.4166666666666661</v>
      </c>
      <c r="T116" s="19">
        <f t="shared" si="10"/>
        <v>-659642.70493420074</v>
      </c>
      <c r="U116" s="19">
        <f t="shared" si="11"/>
        <v>-640616.55574904173</v>
      </c>
    </row>
    <row r="117" spans="1:21" x14ac:dyDescent="0.2">
      <c r="A117">
        <v>114</v>
      </c>
      <c r="B117" s="19">
        <f>Finanzierung!$B$5</f>
        <v>3200.0000000000005</v>
      </c>
      <c r="C117" s="19">
        <f t="shared" si="8"/>
        <v>658201.75214735861</v>
      </c>
      <c r="D117" s="19">
        <f>C117*Finanzierung!$B$3/100/12</f>
        <v>1755.2046723929564</v>
      </c>
      <c r="E117" s="19">
        <f t="shared" si="15"/>
        <v>1444.7953276070441</v>
      </c>
      <c r="J117">
        <v>114</v>
      </c>
      <c r="K117" s="19">
        <f t="shared" si="12"/>
        <v>2240</v>
      </c>
      <c r="L117" s="19">
        <f t="shared" si="13"/>
        <v>785811.16776256973</v>
      </c>
      <c r="M117" s="19">
        <f>L117*Finanzierung!$B$3/100/12</f>
        <v>2095.4964473668529</v>
      </c>
      <c r="N117" s="19">
        <f t="shared" si="14"/>
        <v>144.50355263314714</v>
      </c>
      <c r="O117">
        <f>O116*(1+Finanzierung!$B$6/100/12)+$H$3</f>
        <v>147025.42490444306</v>
      </c>
      <c r="S117" s="22">
        <f t="shared" si="9"/>
        <v>9.5</v>
      </c>
      <c r="T117" s="19">
        <f t="shared" si="10"/>
        <v>-658201.75214735861</v>
      </c>
      <c r="U117" s="19">
        <f t="shared" si="11"/>
        <v>-638785.74285812664</v>
      </c>
    </row>
    <row r="118" spans="1:21" x14ac:dyDescent="0.2">
      <c r="A118">
        <v>115</v>
      </c>
      <c r="B118" s="19">
        <f>Finanzierung!$B$5</f>
        <v>3200.0000000000005</v>
      </c>
      <c r="C118" s="19">
        <f t="shared" si="8"/>
        <v>656756.95681975153</v>
      </c>
      <c r="D118" s="19">
        <f>C118*Finanzierung!$B$3/100/12</f>
        <v>1751.3518848526708</v>
      </c>
      <c r="E118" s="19">
        <f t="shared" si="15"/>
        <v>1448.6481151473297</v>
      </c>
      <c r="J118">
        <v>115</v>
      </c>
      <c r="K118" s="19">
        <f t="shared" si="12"/>
        <v>2240</v>
      </c>
      <c r="L118" s="19">
        <f t="shared" si="13"/>
        <v>785666.66420993663</v>
      </c>
      <c r="M118" s="19">
        <f>L118*Finanzierung!$B$3/100/12</f>
        <v>2095.1111045598313</v>
      </c>
      <c r="N118" s="19">
        <f t="shared" si="14"/>
        <v>144.88889544016865</v>
      </c>
      <c r="O118">
        <f>O117*(1+Finanzierung!$B$6/100/12)+$H$3</f>
        <v>148720.55202896526</v>
      </c>
      <c r="S118" s="22">
        <f t="shared" si="9"/>
        <v>9.5833333333333339</v>
      </c>
      <c r="T118" s="19">
        <f t="shared" si="10"/>
        <v>-656756.95681975153</v>
      </c>
      <c r="U118" s="19">
        <f t="shared" si="11"/>
        <v>-636946.11218097131</v>
      </c>
    </row>
    <row r="119" spans="1:21" x14ac:dyDescent="0.2">
      <c r="A119">
        <v>116</v>
      </c>
      <c r="B119" s="19">
        <f>Finanzierung!$B$5</f>
        <v>3200.0000000000005</v>
      </c>
      <c r="C119" s="19">
        <f t="shared" si="8"/>
        <v>655308.30870460416</v>
      </c>
      <c r="D119" s="19">
        <f>C119*Finanzierung!$B$3/100/12</f>
        <v>1747.4888232122778</v>
      </c>
      <c r="E119" s="19">
        <f t="shared" si="15"/>
        <v>1452.5111767877227</v>
      </c>
      <c r="J119">
        <v>116</v>
      </c>
      <c r="K119" s="19">
        <f t="shared" si="12"/>
        <v>2240</v>
      </c>
      <c r="L119" s="19">
        <f t="shared" si="13"/>
        <v>785521.77531449648</v>
      </c>
      <c r="M119" s="19">
        <f>L119*Finanzierung!$B$3/100/12</f>
        <v>2094.7247341719908</v>
      </c>
      <c r="N119" s="19">
        <f t="shared" si="14"/>
        <v>145.2752658280092</v>
      </c>
      <c r="O119">
        <f>O118*(1+Finanzierung!$B$6/100/12)+$H$3</f>
        <v>150424.15478911006</v>
      </c>
      <c r="S119" s="22">
        <f t="shared" si="9"/>
        <v>9.6666666666666661</v>
      </c>
      <c r="T119" s="19">
        <f t="shared" si="10"/>
        <v>-655308.30870460416</v>
      </c>
      <c r="U119" s="19">
        <f t="shared" si="11"/>
        <v>-635097.62052538642</v>
      </c>
    </row>
    <row r="120" spans="1:21" x14ac:dyDescent="0.2">
      <c r="A120">
        <v>117</v>
      </c>
      <c r="B120" s="19">
        <f>Finanzierung!$B$5</f>
        <v>3200.0000000000005</v>
      </c>
      <c r="C120" s="19">
        <f t="shared" si="8"/>
        <v>653855.7975278165</v>
      </c>
      <c r="D120" s="19">
        <f>C120*Finanzierung!$B$3/100/12</f>
        <v>1743.6154600741775</v>
      </c>
      <c r="E120" s="19">
        <f t="shared" si="15"/>
        <v>1456.384539925823</v>
      </c>
      <c r="J120">
        <v>117</v>
      </c>
      <c r="K120" s="19">
        <f t="shared" si="12"/>
        <v>2240</v>
      </c>
      <c r="L120" s="19">
        <f t="shared" si="13"/>
        <v>785376.50004866847</v>
      </c>
      <c r="M120" s="19">
        <f>L120*Finanzierung!$B$3/100/12</f>
        <v>2094.337333463116</v>
      </c>
      <c r="N120" s="19">
        <f t="shared" si="14"/>
        <v>145.66266653688399</v>
      </c>
      <c r="O120">
        <f>O119*(1+Finanzierung!$B$6/100/12)+$H$3</f>
        <v>152136.27556305559</v>
      </c>
      <c r="S120" s="22">
        <f t="shared" si="9"/>
        <v>9.75</v>
      </c>
      <c r="T120" s="19">
        <f t="shared" si="10"/>
        <v>-653855.7975278165</v>
      </c>
      <c r="U120" s="19">
        <f t="shared" si="11"/>
        <v>-633240.22448561294</v>
      </c>
    </row>
    <row r="121" spans="1:21" x14ac:dyDescent="0.2">
      <c r="A121">
        <v>118</v>
      </c>
      <c r="B121" s="19">
        <f>Finanzierung!$B$5</f>
        <v>3200.0000000000005</v>
      </c>
      <c r="C121" s="19">
        <f t="shared" si="8"/>
        <v>652399.41298789065</v>
      </c>
      <c r="D121" s="19">
        <f>C121*Finanzierung!$B$3/100/12</f>
        <v>1739.7317679677083</v>
      </c>
      <c r="E121" s="19">
        <f t="shared" si="15"/>
        <v>1460.2682320322922</v>
      </c>
      <c r="J121">
        <v>118</v>
      </c>
      <c r="K121" s="19">
        <f t="shared" si="12"/>
        <v>2240</v>
      </c>
      <c r="L121" s="19">
        <f t="shared" si="13"/>
        <v>785230.83738213161</v>
      </c>
      <c r="M121" s="19">
        <f>L121*Finanzierung!$B$3/100/12</f>
        <v>2093.948899685684</v>
      </c>
      <c r="N121" s="19">
        <f t="shared" si="14"/>
        <v>146.05110031431605</v>
      </c>
      <c r="O121">
        <f>O120*(1+Finanzierung!$B$6/100/12)+$H$3</f>
        <v>153856.95694087085</v>
      </c>
      <c r="S121" s="22">
        <f t="shared" si="9"/>
        <v>9.8333333333333339</v>
      </c>
      <c r="T121" s="19">
        <f t="shared" si="10"/>
        <v>-652399.41298789065</v>
      </c>
      <c r="U121" s="19">
        <f t="shared" si="11"/>
        <v>-631373.88044126076</v>
      </c>
    </row>
    <row r="122" spans="1:21" x14ac:dyDescent="0.2">
      <c r="A122">
        <v>119</v>
      </c>
      <c r="B122" s="19">
        <f>Finanzierung!$B$5</f>
        <v>3200.0000000000005</v>
      </c>
      <c r="C122" s="19">
        <f t="shared" si="8"/>
        <v>650939.14475585835</v>
      </c>
      <c r="D122" s="19">
        <f>C122*Finanzierung!$B$3/100/12</f>
        <v>1735.8377193489557</v>
      </c>
      <c r="E122" s="19">
        <f t="shared" si="15"/>
        <v>1464.1622806510447</v>
      </c>
      <c r="J122">
        <v>119</v>
      </c>
      <c r="K122" s="19">
        <f t="shared" si="12"/>
        <v>2240</v>
      </c>
      <c r="L122" s="19">
        <f t="shared" si="13"/>
        <v>785084.78628181724</v>
      </c>
      <c r="M122" s="19">
        <f>L122*Finanzierung!$B$3/100/12</f>
        <v>2093.5594300848456</v>
      </c>
      <c r="N122" s="19">
        <f t="shared" si="14"/>
        <v>146.44056991515436</v>
      </c>
      <c r="O122">
        <f>O121*(1+Finanzierung!$B$6/100/12)+$H$3</f>
        <v>155586.24172557518</v>
      </c>
      <c r="S122" s="22">
        <f t="shared" si="9"/>
        <v>9.9166666666666661</v>
      </c>
      <c r="T122" s="19">
        <f t="shared" si="10"/>
        <v>-650939.14475585835</v>
      </c>
      <c r="U122" s="19">
        <f t="shared" si="11"/>
        <v>-629498.54455624206</v>
      </c>
    </row>
    <row r="123" spans="1:21" x14ac:dyDescent="0.2">
      <c r="A123">
        <v>120</v>
      </c>
      <c r="B123" s="19">
        <f>Finanzierung!$B$5</f>
        <v>3200.0000000000005</v>
      </c>
      <c r="C123" s="19">
        <f t="shared" si="8"/>
        <v>649474.9824752073</v>
      </c>
      <c r="D123" s="19">
        <f>C123*Finanzierung!$B$3/100/12</f>
        <v>1731.9332866005532</v>
      </c>
      <c r="E123" s="19">
        <f t="shared" si="15"/>
        <v>1468.0667133994473</v>
      </c>
      <c r="J123">
        <v>120</v>
      </c>
      <c r="K123" s="19">
        <f t="shared" si="12"/>
        <v>2240</v>
      </c>
      <c r="L123" s="19">
        <f t="shared" si="13"/>
        <v>784938.34571190213</v>
      </c>
      <c r="M123" s="19">
        <f>L123*Finanzierung!$B$3/100/12</f>
        <v>2093.1689218984061</v>
      </c>
      <c r="N123" s="19">
        <f t="shared" si="14"/>
        <v>146.8310781015939</v>
      </c>
      <c r="O123">
        <f>O122*(1+Finanzierung!$B$6/100/12)+$H$3</f>
        <v>157324.17293420303</v>
      </c>
      <c r="S123" s="22">
        <f t="shared" si="9"/>
        <v>10</v>
      </c>
      <c r="T123" s="19">
        <f t="shared" si="10"/>
        <v>-649474.9824752073</v>
      </c>
      <c r="U123" s="19">
        <f t="shared" si="11"/>
        <v>-627614.17277769907</v>
      </c>
    </row>
    <row r="124" spans="1:21" x14ac:dyDescent="0.2">
      <c r="A124">
        <v>121</v>
      </c>
      <c r="B124" s="19">
        <f>Finanzierung!$B$5</f>
        <v>3200.0000000000005</v>
      </c>
      <c r="C124" s="19">
        <f t="shared" ref="C124:C187" si="16">C123-E123</f>
        <v>648006.91576180782</v>
      </c>
      <c r="D124" s="19">
        <f>C124*Finanzierung!$B$3/100/12</f>
        <v>1728.0184420314874</v>
      </c>
      <c r="E124" s="19">
        <f t="shared" si="15"/>
        <v>1471.981557968513</v>
      </c>
      <c r="J124">
        <v>121</v>
      </c>
      <c r="K124" s="19">
        <f t="shared" si="12"/>
        <v>2240</v>
      </c>
      <c r="L124" s="19">
        <f t="shared" si="13"/>
        <v>784791.51463380049</v>
      </c>
      <c r="M124" s="19">
        <f>L124*Finanzierung!$B$3/100/12</f>
        <v>2092.7773723568012</v>
      </c>
      <c r="N124" s="19">
        <f t="shared" si="14"/>
        <v>147.22262764319885</v>
      </c>
      <c r="O124">
        <f>O123*(1+Finanzierung!$B$6/100/12)+$H$3</f>
        <v>159070.79379887402</v>
      </c>
      <c r="S124" s="22">
        <f t="shared" si="9"/>
        <v>10.083333333333334</v>
      </c>
      <c r="T124" s="19">
        <f t="shared" si="10"/>
        <v>-648006.91576180782</v>
      </c>
      <c r="U124" s="19">
        <f t="shared" si="11"/>
        <v>-625720.72083492647</v>
      </c>
    </row>
    <row r="125" spans="1:21" x14ac:dyDescent="0.2">
      <c r="A125">
        <v>122</v>
      </c>
      <c r="B125" s="19">
        <f>Finanzierung!$B$5</f>
        <v>3200.0000000000005</v>
      </c>
      <c r="C125" s="19">
        <f t="shared" si="16"/>
        <v>646534.93420383928</v>
      </c>
      <c r="D125" s="19">
        <f>C125*Finanzierung!$B$3/100/12</f>
        <v>1724.0931578769048</v>
      </c>
      <c r="E125" s="19">
        <f t="shared" si="15"/>
        <v>1475.9068421230957</v>
      </c>
      <c r="J125">
        <v>122</v>
      </c>
      <c r="K125" s="19">
        <f t="shared" si="12"/>
        <v>2240</v>
      </c>
      <c r="L125" s="19">
        <f t="shared" si="13"/>
        <v>784644.29200615734</v>
      </c>
      <c r="M125" s="19">
        <f>L125*Finanzierung!$B$3/100/12</f>
        <v>2092.3847786830861</v>
      </c>
      <c r="N125" s="19">
        <f t="shared" si="14"/>
        <v>147.6152213169139</v>
      </c>
      <c r="O125">
        <f>O124*(1+Finanzierung!$B$6/100/12)+$H$3</f>
        <v>160826.14776786836</v>
      </c>
      <c r="S125" s="22">
        <f t="shared" si="9"/>
        <v>10.166666666666666</v>
      </c>
      <c r="T125" s="19">
        <f t="shared" si="10"/>
        <v>-646534.93420383928</v>
      </c>
      <c r="U125" s="19">
        <f t="shared" si="11"/>
        <v>-623818.14423828898</v>
      </c>
    </row>
    <row r="126" spans="1:21" x14ac:dyDescent="0.2">
      <c r="A126">
        <v>123</v>
      </c>
      <c r="B126" s="19">
        <f>Finanzierung!$B$5</f>
        <v>3200.0000000000005</v>
      </c>
      <c r="C126" s="19">
        <f t="shared" si="16"/>
        <v>645059.02736171614</v>
      </c>
      <c r="D126" s="19">
        <f>C126*Finanzierung!$B$3/100/12</f>
        <v>1720.1574062979098</v>
      </c>
      <c r="E126" s="19">
        <f t="shared" si="15"/>
        <v>1479.8425937020907</v>
      </c>
      <c r="J126">
        <v>123</v>
      </c>
      <c r="K126" s="19">
        <f t="shared" si="12"/>
        <v>2240</v>
      </c>
      <c r="L126" s="19">
        <f t="shared" si="13"/>
        <v>784496.67678484041</v>
      </c>
      <c r="M126" s="19">
        <f>L126*Finanzierung!$B$3/100/12</f>
        <v>2091.9911380929075</v>
      </c>
      <c r="N126" s="19">
        <f t="shared" si="14"/>
        <v>148.00886190709252</v>
      </c>
      <c r="O126">
        <f>O125*(1+Finanzierung!$B$6/100/12)+$H$3</f>
        <v>162590.27850670769</v>
      </c>
      <c r="S126" s="22">
        <f t="shared" si="9"/>
        <v>10.25</v>
      </c>
      <c r="T126" s="19">
        <f t="shared" si="10"/>
        <v>-645059.02736171614</v>
      </c>
      <c r="U126" s="19">
        <f t="shared" si="11"/>
        <v>-621906.39827813278</v>
      </c>
    </row>
    <row r="127" spans="1:21" x14ac:dyDescent="0.2">
      <c r="A127">
        <v>124</v>
      </c>
      <c r="B127" s="19">
        <f>Finanzierung!$B$5</f>
        <v>3200.0000000000005</v>
      </c>
      <c r="C127" s="19">
        <f t="shared" si="16"/>
        <v>643579.18476801401</v>
      </c>
      <c r="D127" s="19">
        <f>C127*Finanzierung!$B$3/100/12</f>
        <v>1716.2111593813706</v>
      </c>
      <c r="E127" s="19">
        <f t="shared" si="15"/>
        <v>1483.7888406186298</v>
      </c>
      <c r="J127">
        <v>124</v>
      </c>
      <c r="K127" s="19">
        <f t="shared" si="12"/>
        <v>2240</v>
      </c>
      <c r="L127" s="19">
        <f t="shared" si="13"/>
        <v>784348.66792293335</v>
      </c>
      <c r="M127" s="19">
        <f>L127*Finanzierung!$B$3/100/12</f>
        <v>2091.596447794489</v>
      </c>
      <c r="N127" s="19">
        <f t="shared" si="14"/>
        <v>148.40355220551101</v>
      </c>
      <c r="O127">
        <f>O126*(1+Finanzierung!$B$6/100/12)+$H$3</f>
        <v>164363.22989924121</v>
      </c>
      <c r="S127" s="22">
        <f t="shared" si="9"/>
        <v>10.333333333333334</v>
      </c>
      <c r="T127" s="19">
        <f t="shared" si="10"/>
        <v>-643579.18476801401</v>
      </c>
      <c r="U127" s="19">
        <f t="shared" si="11"/>
        <v>-619985.43802369211</v>
      </c>
    </row>
    <row r="128" spans="1:21" x14ac:dyDescent="0.2">
      <c r="A128">
        <v>125</v>
      </c>
      <c r="B128" s="19">
        <f>Finanzierung!$B$5</f>
        <v>3200.0000000000005</v>
      </c>
      <c r="C128" s="19">
        <f t="shared" si="16"/>
        <v>642095.39592739532</v>
      </c>
      <c r="D128" s="19">
        <f>C128*Finanzierung!$B$3/100/12</f>
        <v>1712.2543891397208</v>
      </c>
      <c r="E128" s="19">
        <f t="shared" si="15"/>
        <v>1487.7456108602796</v>
      </c>
      <c r="J128">
        <v>125</v>
      </c>
      <c r="K128" s="19">
        <f t="shared" si="12"/>
        <v>2240</v>
      </c>
      <c r="L128" s="19">
        <f t="shared" si="13"/>
        <v>784200.26437072782</v>
      </c>
      <c r="M128" s="19">
        <f>L128*Finanzierung!$B$3/100/12</f>
        <v>2091.2007049886074</v>
      </c>
      <c r="N128" s="19">
        <f t="shared" si="14"/>
        <v>148.79929501139259</v>
      </c>
      <c r="O128">
        <f>O127*(1+Finanzierung!$B$6/100/12)+$H$3</f>
        <v>166145.04604873739</v>
      </c>
      <c r="S128" s="22">
        <f t="shared" si="9"/>
        <v>10.416666666666666</v>
      </c>
      <c r="T128" s="19">
        <f t="shared" si="10"/>
        <v>-642095.39592739532</v>
      </c>
      <c r="U128" s="19">
        <f t="shared" si="11"/>
        <v>-618055.21832199045</v>
      </c>
    </row>
    <row r="129" spans="1:21" x14ac:dyDescent="0.2">
      <c r="A129">
        <v>126</v>
      </c>
      <c r="B129" s="19">
        <f>Finanzierung!$B$5</f>
        <v>3200.0000000000005</v>
      </c>
      <c r="C129" s="19">
        <f t="shared" si="16"/>
        <v>640607.65031653503</v>
      </c>
      <c r="D129" s="19">
        <f>C129*Finanzierung!$B$3/100/12</f>
        <v>1708.2870675107604</v>
      </c>
      <c r="E129" s="19">
        <f t="shared" si="15"/>
        <v>1491.7129324892401</v>
      </c>
      <c r="J129">
        <v>126</v>
      </c>
      <c r="K129" s="19">
        <f t="shared" si="12"/>
        <v>2240</v>
      </c>
      <c r="L129" s="19">
        <f t="shared" si="13"/>
        <v>784051.46507571638</v>
      </c>
      <c r="M129" s="19">
        <f>L129*Finanzierung!$B$3/100/12</f>
        <v>2090.8039068685771</v>
      </c>
      <c r="N129" s="19">
        <f t="shared" si="14"/>
        <v>149.19609313142291</v>
      </c>
      <c r="O129">
        <f>O128*(1+Finanzierung!$B$6/100/12)+$H$3</f>
        <v>167935.77127898106</v>
      </c>
      <c r="S129" s="22">
        <f t="shared" si="9"/>
        <v>10.5</v>
      </c>
      <c r="T129" s="19">
        <f t="shared" si="10"/>
        <v>-640607.65031653503</v>
      </c>
      <c r="U129" s="19">
        <f t="shared" si="11"/>
        <v>-616115.69379673526</v>
      </c>
    </row>
    <row r="130" spans="1:21" x14ac:dyDescent="0.2">
      <c r="A130">
        <v>127</v>
      </c>
      <c r="B130" s="19">
        <f>Finanzierung!$B$5</f>
        <v>3200.0000000000005</v>
      </c>
      <c r="C130" s="19">
        <f t="shared" si="16"/>
        <v>639115.9373840458</v>
      </c>
      <c r="D130" s="19">
        <f>C130*Finanzierung!$B$3/100/12</f>
        <v>1704.3091663574558</v>
      </c>
      <c r="E130" s="19">
        <f t="shared" si="15"/>
        <v>1495.6908336425447</v>
      </c>
      <c r="J130">
        <v>127</v>
      </c>
      <c r="K130" s="19">
        <f t="shared" si="12"/>
        <v>2240</v>
      </c>
      <c r="L130" s="19">
        <f t="shared" si="13"/>
        <v>783902.26898258494</v>
      </c>
      <c r="M130" s="19">
        <f>L130*Finanzierung!$B$3/100/12</f>
        <v>2090.4060506202263</v>
      </c>
      <c r="N130" s="19">
        <f t="shared" si="14"/>
        <v>149.59394937977368</v>
      </c>
      <c r="O130">
        <f>O129*(1+Finanzierung!$B$6/100/12)+$H$3</f>
        <v>169735.45013537596</v>
      </c>
      <c r="S130" s="22">
        <f t="shared" si="9"/>
        <v>10.583333333333334</v>
      </c>
      <c r="T130" s="19">
        <f t="shared" si="10"/>
        <v>-639115.9373840458</v>
      </c>
      <c r="U130" s="19">
        <f t="shared" si="11"/>
        <v>-614166.81884720898</v>
      </c>
    </row>
    <row r="131" spans="1:21" x14ac:dyDescent="0.2">
      <c r="A131">
        <v>128</v>
      </c>
      <c r="B131" s="19">
        <f>Finanzierung!$B$5</f>
        <v>3200.0000000000005</v>
      </c>
      <c r="C131" s="19">
        <f t="shared" si="16"/>
        <v>637620.2465504033</v>
      </c>
      <c r="D131" s="19">
        <f>C131*Finanzierung!$B$3/100/12</f>
        <v>1700.3206574677422</v>
      </c>
      <c r="E131" s="19">
        <f t="shared" si="15"/>
        <v>1499.6793425322583</v>
      </c>
      <c r="J131">
        <v>128</v>
      </c>
      <c r="K131" s="19">
        <f t="shared" si="12"/>
        <v>2240</v>
      </c>
      <c r="L131" s="19">
        <f t="shared" si="13"/>
        <v>783752.67503320519</v>
      </c>
      <c r="M131" s="19">
        <f>L131*Finanzierung!$B$3/100/12</f>
        <v>2090.0071334218806</v>
      </c>
      <c r="N131" s="19">
        <f t="shared" si="14"/>
        <v>149.99286657811945</v>
      </c>
      <c r="O131">
        <f>O130*(1+Finanzierung!$B$6/100/12)+$H$3</f>
        <v>171544.12738605283</v>
      </c>
      <c r="S131" s="22">
        <f t="shared" si="9"/>
        <v>10.666666666666666</v>
      </c>
      <c r="T131" s="19">
        <f t="shared" si="10"/>
        <v>-637620.2465504033</v>
      </c>
      <c r="U131" s="19">
        <f t="shared" si="11"/>
        <v>-612208.54764715233</v>
      </c>
    </row>
    <row r="132" spans="1:21" x14ac:dyDescent="0.2">
      <c r="A132">
        <v>129</v>
      </c>
      <c r="B132" s="19">
        <f>Finanzierung!$B$5</f>
        <v>3200.0000000000005</v>
      </c>
      <c r="C132" s="19">
        <f t="shared" si="16"/>
        <v>636120.567207871</v>
      </c>
      <c r="D132" s="19">
        <f>C132*Finanzierung!$B$3/100/12</f>
        <v>1696.3215125543229</v>
      </c>
      <c r="E132" s="19">
        <f t="shared" si="15"/>
        <v>1503.6784874456775</v>
      </c>
      <c r="J132">
        <v>129</v>
      </c>
      <c r="K132" s="19">
        <f t="shared" si="12"/>
        <v>2240</v>
      </c>
      <c r="L132" s="19">
        <f t="shared" si="13"/>
        <v>783602.68216662703</v>
      </c>
      <c r="M132" s="19">
        <f>L132*Finanzierung!$B$3/100/12</f>
        <v>2089.6071524443387</v>
      </c>
      <c r="N132" s="19">
        <f t="shared" si="14"/>
        <v>150.39284755566132</v>
      </c>
      <c r="O132">
        <f>O131*(1+Finanzierung!$B$6/100/12)+$H$3</f>
        <v>173361.84802298309</v>
      </c>
      <c r="S132" s="22">
        <f t="shared" ref="S132:S195" si="17">J132/12</f>
        <v>10.75</v>
      </c>
      <c r="T132" s="19">
        <f t="shared" ref="T132:T195" si="18">-C132</f>
        <v>-636120.567207871</v>
      </c>
      <c r="U132" s="19">
        <f t="shared" ref="U132:U195" si="19">O132-L132</f>
        <v>-610240.83414364397</v>
      </c>
    </row>
    <row r="133" spans="1:21" x14ac:dyDescent="0.2">
      <c r="A133">
        <v>130</v>
      </c>
      <c r="B133" s="19">
        <f>Finanzierung!$B$5</f>
        <v>3200.0000000000005</v>
      </c>
      <c r="C133" s="19">
        <f t="shared" si="16"/>
        <v>634616.88872042531</v>
      </c>
      <c r="D133" s="19">
        <f>C133*Finanzierung!$B$3/100/12</f>
        <v>1692.3117032544676</v>
      </c>
      <c r="E133" s="19">
        <f t="shared" si="15"/>
        <v>1507.6882967455329</v>
      </c>
      <c r="J133">
        <v>130</v>
      </c>
      <c r="K133" s="19">
        <f t="shared" ref="K133:K196" si="20">$H$1</f>
        <v>2240</v>
      </c>
      <c r="L133" s="19">
        <f t="shared" ref="L133:L196" si="21">L132-N132</f>
        <v>783452.28931907134</v>
      </c>
      <c r="M133" s="19">
        <f>L133*Finanzierung!$B$3/100/12</f>
        <v>2089.2061048508572</v>
      </c>
      <c r="N133" s="19">
        <f t="shared" ref="N133:N196" si="22">K133-M133</f>
        <v>150.79389514914283</v>
      </c>
      <c r="O133">
        <f>O132*(1+Finanzierung!$B$6/100/12)+$H$3</f>
        <v>175188.65726309799</v>
      </c>
      <c r="S133" s="22">
        <f t="shared" si="17"/>
        <v>10.833333333333334</v>
      </c>
      <c r="T133" s="19">
        <f t="shared" si="18"/>
        <v>-634616.88872042531</v>
      </c>
      <c r="U133" s="19">
        <f t="shared" si="19"/>
        <v>-608263.6320559734</v>
      </c>
    </row>
    <row r="134" spans="1:21" x14ac:dyDescent="0.2">
      <c r="A134">
        <v>131</v>
      </c>
      <c r="B134" s="19">
        <f>Finanzierung!$B$5</f>
        <v>3200.0000000000005</v>
      </c>
      <c r="C134" s="19">
        <f t="shared" si="16"/>
        <v>633109.20042367978</v>
      </c>
      <c r="D134" s="19">
        <f>C134*Finanzierung!$B$3/100/12</f>
        <v>1688.2912011298129</v>
      </c>
      <c r="E134" s="19">
        <f t="shared" ref="E134:E197" si="23">B134-D134</f>
        <v>1511.7087988701876</v>
      </c>
      <c r="J134">
        <v>131</v>
      </c>
      <c r="K134" s="19">
        <f t="shared" si="20"/>
        <v>2240</v>
      </c>
      <c r="L134" s="19">
        <f t="shared" si="21"/>
        <v>783301.4954239222</v>
      </c>
      <c r="M134" s="19">
        <f>L134*Finanzierung!$B$3/100/12</f>
        <v>2088.8039877971255</v>
      </c>
      <c r="N134" s="19">
        <f t="shared" si="22"/>
        <v>151.1960122028745</v>
      </c>
      <c r="O134">
        <f>O133*(1+Finanzierung!$B$6/100/12)+$H$3</f>
        <v>177024.60054941347</v>
      </c>
      <c r="S134" s="22">
        <f t="shared" si="17"/>
        <v>10.916666666666666</v>
      </c>
      <c r="T134" s="19">
        <f t="shared" si="18"/>
        <v>-633109.20042367978</v>
      </c>
      <c r="U134" s="19">
        <f t="shared" si="19"/>
        <v>-606276.89487450873</v>
      </c>
    </row>
    <row r="135" spans="1:21" x14ac:dyDescent="0.2">
      <c r="A135">
        <v>132</v>
      </c>
      <c r="B135" s="19">
        <f>Finanzierung!$B$5</f>
        <v>3200.0000000000005</v>
      </c>
      <c r="C135" s="19">
        <f t="shared" si="16"/>
        <v>631597.49162480957</v>
      </c>
      <c r="D135" s="19">
        <f>C135*Finanzierung!$B$3/100/12</f>
        <v>1684.2599776661591</v>
      </c>
      <c r="E135" s="19">
        <f t="shared" si="23"/>
        <v>1515.7400223338414</v>
      </c>
      <c r="J135">
        <v>132</v>
      </c>
      <c r="K135" s="19">
        <f t="shared" si="20"/>
        <v>2240</v>
      </c>
      <c r="L135" s="19">
        <f t="shared" si="21"/>
        <v>783150.29941171932</v>
      </c>
      <c r="M135" s="19">
        <f>L135*Finanzierung!$B$3/100/12</f>
        <v>2088.4007984312516</v>
      </c>
      <c r="N135" s="19">
        <f t="shared" si="22"/>
        <v>151.59920156874841</v>
      </c>
      <c r="O135">
        <f>O134*(1+Finanzierung!$B$6/100/12)+$H$3</f>
        <v>178869.72355216052</v>
      </c>
      <c r="S135" s="22">
        <f t="shared" si="17"/>
        <v>11</v>
      </c>
      <c r="T135" s="19">
        <f t="shared" si="18"/>
        <v>-631597.49162480957</v>
      </c>
      <c r="U135" s="19">
        <f t="shared" si="19"/>
        <v>-604280.57585955877</v>
      </c>
    </row>
    <row r="136" spans="1:21" x14ac:dyDescent="0.2">
      <c r="A136">
        <v>133</v>
      </c>
      <c r="B136" s="19">
        <f>Finanzierung!$B$5</f>
        <v>3200.0000000000005</v>
      </c>
      <c r="C136" s="19">
        <f t="shared" si="16"/>
        <v>630081.75160247576</v>
      </c>
      <c r="D136" s="19">
        <f>C136*Finanzierung!$B$3/100/12</f>
        <v>1680.2180042732689</v>
      </c>
      <c r="E136" s="19">
        <f t="shared" si="23"/>
        <v>1519.7819957267316</v>
      </c>
      <c r="J136">
        <v>133</v>
      </c>
      <c r="K136" s="19">
        <f t="shared" si="20"/>
        <v>2240</v>
      </c>
      <c r="L136" s="19">
        <f t="shared" si="21"/>
        <v>782998.70021015056</v>
      </c>
      <c r="M136" s="19">
        <f>L136*Finanzierung!$B$3/100/12</f>
        <v>2087.996533893735</v>
      </c>
      <c r="N136" s="19">
        <f t="shared" si="22"/>
        <v>152.00346610626502</v>
      </c>
      <c r="O136">
        <f>O135*(1+Finanzierung!$B$6/100/12)+$H$3</f>
        <v>180724.0721699213</v>
      </c>
      <c r="S136" s="22">
        <f t="shared" si="17"/>
        <v>11.083333333333334</v>
      </c>
      <c r="T136" s="19">
        <f t="shared" si="18"/>
        <v>-630081.75160247576</v>
      </c>
      <c r="U136" s="19">
        <f t="shared" si="19"/>
        <v>-602274.6280402292</v>
      </c>
    </row>
    <row r="137" spans="1:21" x14ac:dyDescent="0.2">
      <c r="A137">
        <v>134</v>
      </c>
      <c r="B137" s="19">
        <f>Finanzierung!$B$5</f>
        <v>3200.0000000000005</v>
      </c>
      <c r="C137" s="19">
        <f t="shared" si="16"/>
        <v>628561.96960674901</v>
      </c>
      <c r="D137" s="19">
        <f>C137*Finanzierung!$B$3/100/12</f>
        <v>1676.1652522846641</v>
      </c>
      <c r="E137" s="19">
        <f t="shared" si="23"/>
        <v>1523.8347477153363</v>
      </c>
      <c r="J137">
        <v>134</v>
      </c>
      <c r="K137" s="19">
        <f t="shared" si="20"/>
        <v>2240</v>
      </c>
      <c r="L137" s="19">
        <f t="shared" si="21"/>
        <v>782846.69674404431</v>
      </c>
      <c r="M137" s="19">
        <f>L137*Finanzierung!$B$3/100/12</f>
        <v>2087.5911913174514</v>
      </c>
      <c r="N137" s="19">
        <f t="shared" si="22"/>
        <v>152.40880868254862</v>
      </c>
      <c r="O137">
        <f>O136*(1+Finanzierung!$B$6/100/12)+$H$3</f>
        <v>182587.6925307709</v>
      </c>
      <c r="S137" s="22">
        <f t="shared" si="17"/>
        <v>11.166666666666666</v>
      </c>
      <c r="T137" s="19">
        <f t="shared" si="18"/>
        <v>-628561.96960674901</v>
      </c>
      <c r="U137" s="19">
        <f t="shared" si="19"/>
        <v>-600259.00421327341</v>
      </c>
    </row>
    <row r="138" spans="1:21" x14ac:dyDescent="0.2">
      <c r="A138">
        <v>135</v>
      </c>
      <c r="B138" s="19">
        <f>Finanzierung!$B$5</f>
        <v>3200.0000000000005</v>
      </c>
      <c r="C138" s="19">
        <f t="shared" si="16"/>
        <v>627038.13485903363</v>
      </c>
      <c r="D138" s="19">
        <f>C138*Finanzierung!$B$3/100/12</f>
        <v>1672.1016929574232</v>
      </c>
      <c r="E138" s="19">
        <f t="shared" si="23"/>
        <v>1527.8983070425772</v>
      </c>
      <c r="J138">
        <v>135</v>
      </c>
      <c r="K138" s="19">
        <f t="shared" si="20"/>
        <v>2240</v>
      </c>
      <c r="L138" s="19">
        <f t="shared" si="21"/>
        <v>782694.28793536173</v>
      </c>
      <c r="M138" s="19">
        <f>L138*Finanzierung!$B$3/100/12</f>
        <v>2087.1847678276313</v>
      </c>
      <c r="N138" s="19">
        <f t="shared" si="22"/>
        <v>152.81523217236872</v>
      </c>
      <c r="O138">
        <f>O137*(1+Finanzierung!$B$6/100/12)+$H$3</f>
        <v>184460.63099342474</v>
      </c>
      <c r="S138" s="22">
        <f t="shared" si="17"/>
        <v>11.25</v>
      </c>
      <c r="T138" s="19">
        <f t="shared" si="18"/>
        <v>-627038.13485903363</v>
      </c>
      <c r="U138" s="19">
        <f t="shared" si="19"/>
        <v>-598233.65694193705</v>
      </c>
    </row>
    <row r="139" spans="1:21" x14ac:dyDescent="0.2">
      <c r="A139">
        <v>136</v>
      </c>
      <c r="B139" s="19">
        <f>Finanzierung!$B$5</f>
        <v>3200.0000000000005</v>
      </c>
      <c r="C139" s="19">
        <f t="shared" si="16"/>
        <v>625510.23655199108</v>
      </c>
      <c r="D139" s="19">
        <f>C139*Finanzierung!$B$3/100/12</f>
        <v>1668.0272974719762</v>
      </c>
      <c r="E139" s="19">
        <f t="shared" si="23"/>
        <v>1531.9727025280242</v>
      </c>
      <c r="J139">
        <v>136</v>
      </c>
      <c r="K139" s="19">
        <f t="shared" si="20"/>
        <v>2240</v>
      </c>
      <c r="L139" s="19">
        <f t="shared" si="21"/>
        <v>782541.47270318936</v>
      </c>
      <c r="M139" s="19">
        <f>L139*Finanzierung!$B$3/100/12</f>
        <v>2086.7772605418381</v>
      </c>
      <c r="N139" s="19">
        <f t="shared" si="22"/>
        <v>153.22273945816187</v>
      </c>
      <c r="O139">
        <f>O138*(1+Finanzierung!$B$6/100/12)+$H$3</f>
        <v>186342.93414839185</v>
      </c>
      <c r="S139" s="22">
        <f t="shared" si="17"/>
        <v>11.333333333333334</v>
      </c>
      <c r="T139" s="19">
        <f t="shared" si="18"/>
        <v>-625510.23655199108</v>
      </c>
      <c r="U139" s="19">
        <f t="shared" si="19"/>
        <v>-596198.53855479753</v>
      </c>
    </row>
    <row r="140" spans="1:21" x14ac:dyDescent="0.2">
      <c r="A140">
        <v>137</v>
      </c>
      <c r="B140" s="19">
        <f>Finanzierung!$B$5</f>
        <v>3200.0000000000005</v>
      </c>
      <c r="C140" s="19">
        <f t="shared" si="16"/>
        <v>623978.26384946308</v>
      </c>
      <c r="D140" s="19">
        <f>C140*Finanzierung!$B$3/100/12</f>
        <v>1663.9420369319016</v>
      </c>
      <c r="E140" s="19">
        <f t="shared" si="23"/>
        <v>1536.0579630680988</v>
      </c>
      <c r="J140">
        <v>137</v>
      </c>
      <c r="K140" s="19">
        <f t="shared" si="20"/>
        <v>2240</v>
      </c>
      <c r="L140" s="19">
        <f t="shared" si="21"/>
        <v>782388.24996373116</v>
      </c>
      <c r="M140" s="19">
        <f>L140*Finanzierung!$B$3/100/12</f>
        <v>2086.3686665699502</v>
      </c>
      <c r="N140" s="19">
        <f t="shared" si="22"/>
        <v>153.63133343004984</v>
      </c>
      <c r="O140">
        <f>O139*(1+Finanzierung!$B$6/100/12)+$H$3</f>
        <v>188234.64881913378</v>
      </c>
      <c r="S140" s="22">
        <f t="shared" si="17"/>
        <v>11.416666666666666</v>
      </c>
      <c r="T140" s="19">
        <f t="shared" si="18"/>
        <v>-623978.26384946308</v>
      </c>
      <c r="U140" s="19">
        <f t="shared" si="19"/>
        <v>-594153.6011445974</v>
      </c>
    </row>
    <row r="141" spans="1:21" x14ac:dyDescent="0.2">
      <c r="A141">
        <v>138</v>
      </c>
      <c r="B141" s="19">
        <f>Finanzierung!$B$5</f>
        <v>3200.0000000000005</v>
      </c>
      <c r="C141" s="19">
        <f t="shared" si="16"/>
        <v>622442.20588639495</v>
      </c>
      <c r="D141" s="19">
        <f>C141*Finanzierung!$B$3/100/12</f>
        <v>1659.84588236372</v>
      </c>
      <c r="E141" s="19">
        <f t="shared" si="23"/>
        <v>1540.1541176362805</v>
      </c>
      <c r="J141">
        <v>138</v>
      </c>
      <c r="K141" s="19">
        <f t="shared" si="20"/>
        <v>2240</v>
      </c>
      <c r="L141" s="19">
        <f t="shared" si="21"/>
        <v>782234.61863030109</v>
      </c>
      <c r="M141" s="19">
        <f>L141*Finanzierung!$B$3/100/12</f>
        <v>2085.9589830141363</v>
      </c>
      <c r="N141" s="19">
        <f t="shared" si="22"/>
        <v>154.04101698586373</v>
      </c>
      <c r="O141">
        <f>O140*(1+Finanzierung!$B$6/100/12)+$H$3</f>
        <v>190135.82206322943</v>
      </c>
      <c r="S141" s="22">
        <f t="shared" si="17"/>
        <v>11.5</v>
      </c>
      <c r="T141" s="19">
        <f t="shared" si="18"/>
        <v>-622442.20588639495</v>
      </c>
      <c r="U141" s="19">
        <f t="shared" si="19"/>
        <v>-592098.79656707169</v>
      </c>
    </row>
    <row r="142" spans="1:21" x14ac:dyDescent="0.2">
      <c r="A142">
        <v>139</v>
      </c>
      <c r="B142" s="19">
        <f>Finanzierung!$B$5</f>
        <v>3200.0000000000005</v>
      </c>
      <c r="C142" s="19">
        <f t="shared" si="16"/>
        <v>620902.05176875868</v>
      </c>
      <c r="D142" s="19">
        <f>C142*Finanzierung!$B$3/100/12</f>
        <v>1655.7388047166899</v>
      </c>
      <c r="E142" s="19">
        <f t="shared" si="23"/>
        <v>1544.2611952833106</v>
      </c>
      <c r="J142">
        <v>139</v>
      </c>
      <c r="K142" s="19">
        <f t="shared" si="20"/>
        <v>2240</v>
      </c>
      <c r="L142" s="19">
        <f t="shared" si="21"/>
        <v>782080.5776133152</v>
      </c>
      <c r="M142" s="19">
        <f>L142*Finanzierung!$B$3/100/12</f>
        <v>2085.5482069688405</v>
      </c>
      <c r="N142" s="19">
        <f t="shared" si="22"/>
        <v>154.45179303115947</v>
      </c>
      <c r="O142">
        <f>O141*(1+Finanzierung!$B$6/100/12)+$H$3</f>
        <v>192046.50117354555</v>
      </c>
      <c r="S142" s="22">
        <f t="shared" si="17"/>
        <v>11.583333333333334</v>
      </c>
      <c r="T142" s="19">
        <f t="shared" si="18"/>
        <v>-620902.05176875868</v>
      </c>
      <c r="U142" s="19">
        <f t="shared" si="19"/>
        <v>-590034.07643976971</v>
      </c>
    </row>
    <row r="143" spans="1:21" x14ac:dyDescent="0.2">
      <c r="A143">
        <v>140</v>
      </c>
      <c r="B143" s="19">
        <f>Finanzierung!$B$5</f>
        <v>3200.0000000000005</v>
      </c>
      <c r="C143" s="19">
        <f t="shared" si="16"/>
        <v>619357.79057347542</v>
      </c>
      <c r="D143" s="19">
        <f>C143*Finanzierung!$B$3/100/12</f>
        <v>1651.6207748626011</v>
      </c>
      <c r="E143" s="19">
        <f t="shared" si="23"/>
        <v>1548.3792251373993</v>
      </c>
      <c r="J143">
        <v>140</v>
      </c>
      <c r="K143" s="19">
        <f t="shared" si="20"/>
        <v>2240</v>
      </c>
      <c r="L143" s="19">
        <f t="shared" si="21"/>
        <v>781926.12582028401</v>
      </c>
      <c r="M143" s="19">
        <f>L143*Finanzierung!$B$3/100/12</f>
        <v>2085.1363355207573</v>
      </c>
      <c r="N143" s="19">
        <f t="shared" si="22"/>
        <v>154.86366447924274</v>
      </c>
      <c r="O143">
        <f>O142*(1+Finanzierung!$B$6/100/12)+$H$3</f>
        <v>193966.73367941324</v>
      </c>
      <c r="S143" s="22">
        <f t="shared" si="17"/>
        <v>11.666666666666666</v>
      </c>
      <c r="T143" s="19">
        <f t="shared" si="18"/>
        <v>-619357.79057347542</v>
      </c>
      <c r="U143" s="19">
        <f t="shared" si="19"/>
        <v>-587959.3921408708</v>
      </c>
    </row>
    <row r="144" spans="1:21" x14ac:dyDescent="0.2">
      <c r="A144">
        <v>141</v>
      </c>
      <c r="B144" s="19">
        <f>Finanzierung!$B$5</f>
        <v>3200.0000000000005</v>
      </c>
      <c r="C144" s="19">
        <f t="shared" si="16"/>
        <v>617809.41134833801</v>
      </c>
      <c r="D144" s="19">
        <f>C144*Finanzierung!$B$3/100/12</f>
        <v>1647.491763595568</v>
      </c>
      <c r="E144" s="19">
        <f t="shared" si="23"/>
        <v>1552.5082364044324</v>
      </c>
      <c r="J144">
        <v>141</v>
      </c>
      <c r="K144" s="19">
        <f t="shared" si="20"/>
        <v>2240</v>
      </c>
      <c r="L144" s="19">
        <f t="shared" si="21"/>
        <v>781771.26215580478</v>
      </c>
      <c r="M144" s="19">
        <f>L144*Finanzierung!$B$3/100/12</f>
        <v>2084.7233657488127</v>
      </c>
      <c r="N144" s="19">
        <f t="shared" si="22"/>
        <v>155.27663425118726</v>
      </c>
      <c r="O144">
        <f>O143*(1+Finanzierung!$B$6/100/12)+$H$3</f>
        <v>195896.56734781028</v>
      </c>
      <c r="S144" s="22">
        <f t="shared" si="17"/>
        <v>11.75</v>
      </c>
      <c r="T144" s="19">
        <f t="shared" si="18"/>
        <v>-617809.41134833801</v>
      </c>
      <c r="U144" s="19">
        <f t="shared" si="19"/>
        <v>-585874.69480799453</v>
      </c>
    </row>
    <row r="145" spans="1:21" x14ac:dyDescent="0.2">
      <c r="A145">
        <v>142</v>
      </c>
      <c r="B145" s="19">
        <f>Finanzierung!$B$5</f>
        <v>3200.0000000000005</v>
      </c>
      <c r="C145" s="19">
        <f t="shared" si="16"/>
        <v>616256.90311193361</v>
      </c>
      <c r="D145" s="19">
        <f>C145*Finanzierung!$B$3/100/12</f>
        <v>1643.351741631823</v>
      </c>
      <c r="E145" s="19">
        <f t="shared" si="23"/>
        <v>1556.6482583681775</v>
      </c>
      <c r="J145">
        <v>142</v>
      </c>
      <c r="K145" s="19">
        <f t="shared" si="20"/>
        <v>2240</v>
      </c>
      <c r="L145" s="19">
        <f t="shared" si="21"/>
        <v>781615.98552155355</v>
      </c>
      <c r="M145" s="19">
        <f>L145*Finanzierung!$B$3/100/12</f>
        <v>2084.3092947241425</v>
      </c>
      <c r="N145" s="19">
        <f t="shared" si="22"/>
        <v>155.69070527585745</v>
      </c>
      <c r="O145">
        <f>O144*(1+Finanzierung!$B$6/100/12)+$H$3</f>
        <v>197836.05018454933</v>
      </c>
      <c r="S145" s="22">
        <f t="shared" si="17"/>
        <v>11.833333333333334</v>
      </c>
      <c r="T145" s="19">
        <f t="shared" si="18"/>
        <v>-616256.90311193361</v>
      </c>
      <c r="U145" s="19">
        <f t="shared" si="19"/>
        <v>-583779.93533700425</v>
      </c>
    </row>
    <row r="146" spans="1:21" x14ac:dyDescent="0.2">
      <c r="A146">
        <v>143</v>
      </c>
      <c r="B146" s="19">
        <f>Finanzierung!$B$5</f>
        <v>3200.0000000000005</v>
      </c>
      <c r="C146" s="19">
        <f t="shared" si="16"/>
        <v>614700.25485356548</v>
      </c>
      <c r="D146" s="19">
        <f>C146*Finanzierung!$B$3/100/12</f>
        <v>1639.2006796095081</v>
      </c>
      <c r="E146" s="19">
        <f t="shared" si="23"/>
        <v>1560.7993203904923</v>
      </c>
      <c r="J146">
        <v>143</v>
      </c>
      <c r="K146" s="19">
        <f t="shared" si="20"/>
        <v>2240</v>
      </c>
      <c r="L146" s="19">
        <f t="shared" si="21"/>
        <v>781460.29481627769</v>
      </c>
      <c r="M146" s="19">
        <f>L146*Finanzierung!$B$3/100/12</f>
        <v>2083.8941195100738</v>
      </c>
      <c r="N146" s="19">
        <f t="shared" si="22"/>
        <v>156.10588048992622</v>
      </c>
      <c r="O146">
        <f>O145*(1+Finanzierung!$B$6/100/12)+$H$3</f>
        <v>199785.23043547204</v>
      </c>
      <c r="S146" s="22">
        <f t="shared" si="17"/>
        <v>11.916666666666666</v>
      </c>
      <c r="T146" s="19">
        <f t="shared" si="18"/>
        <v>-614700.25485356548</v>
      </c>
      <c r="U146" s="19">
        <f t="shared" si="19"/>
        <v>-581675.06438080571</v>
      </c>
    </row>
    <row r="147" spans="1:21" x14ac:dyDescent="0.2">
      <c r="A147">
        <v>144</v>
      </c>
      <c r="B147" s="19">
        <f>Finanzierung!$B$5</f>
        <v>3200.0000000000005</v>
      </c>
      <c r="C147" s="19">
        <f t="shared" si="16"/>
        <v>613139.45553317503</v>
      </c>
      <c r="D147" s="19">
        <f>C147*Finanzierung!$B$3/100/12</f>
        <v>1635.0385480884668</v>
      </c>
      <c r="E147" s="19">
        <f t="shared" si="23"/>
        <v>1564.9614519115337</v>
      </c>
      <c r="J147">
        <v>144</v>
      </c>
      <c r="K147" s="19">
        <f t="shared" si="20"/>
        <v>2240</v>
      </c>
      <c r="L147" s="19">
        <f t="shared" si="21"/>
        <v>781304.18893578777</v>
      </c>
      <c r="M147" s="19">
        <f>L147*Finanzierung!$B$3/100/12</f>
        <v>2083.477837162101</v>
      </c>
      <c r="N147" s="19">
        <f t="shared" si="22"/>
        <v>156.52216283789903</v>
      </c>
      <c r="O147">
        <f>O146*(1+Finanzierung!$B$6/100/12)+$H$3</f>
        <v>201744.15658764937</v>
      </c>
      <c r="S147" s="22">
        <f t="shared" si="17"/>
        <v>12</v>
      </c>
      <c r="T147" s="19">
        <f t="shared" si="18"/>
        <v>-613139.45553317503</v>
      </c>
      <c r="U147" s="19">
        <f t="shared" si="19"/>
        <v>-579560.0323481384</v>
      </c>
    </row>
    <row r="148" spans="1:21" x14ac:dyDescent="0.2">
      <c r="A148">
        <v>145</v>
      </c>
      <c r="B148" s="19">
        <f>Finanzierung!$B$5</f>
        <v>3200.0000000000005</v>
      </c>
      <c r="C148" s="19">
        <f t="shared" si="16"/>
        <v>611574.49408126355</v>
      </c>
      <c r="D148" s="19">
        <f>C148*Finanzierung!$B$3/100/12</f>
        <v>1630.865317550036</v>
      </c>
      <c r="E148" s="19">
        <f t="shared" si="23"/>
        <v>1569.1346824499644</v>
      </c>
      <c r="J148">
        <v>145</v>
      </c>
      <c r="K148" s="19">
        <f t="shared" si="20"/>
        <v>2240</v>
      </c>
      <c r="L148" s="19">
        <f t="shared" si="21"/>
        <v>781147.66677294986</v>
      </c>
      <c r="M148" s="19">
        <f>L148*Finanzierung!$B$3/100/12</f>
        <v>2083.0604447278661</v>
      </c>
      <c r="N148" s="19">
        <f t="shared" si="22"/>
        <v>156.93955527213393</v>
      </c>
      <c r="O148">
        <f>O147*(1+Finanzierung!$B$6/100/12)+$H$3</f>
        <v>203712.87737058761</v>
      </c>
      <c r="S148" s="22">
        <f t="shared" si="17"/>
        <v>12.083333333333334</v>
      </c>
      <c r="T148" s="19">
        <f t="shared" si="18"/>
        <v>-611574.49408126355</v>
      </c>
      <c r="U148" s="19">
        <f t="shared" si="19"/>
        <v>-577434.78940236219</v>
      </c>
    </row>
    <row r="149" spans="1:21" x14ac:dyDescent="0.2">
      <c r="A149">
        <v>146</v>
      </c>
      <c r="B149" s="19">
        <f>Finanzierung!$B$5</f>
        <v>3200.0000000000005</v>
      </c>
      <c r="C149" s="19">
        <f t="shared" si="16"/>
        <v>610005.35939881357</v>
      </c>
      <c r="D149" s="19">
        <f>C149*Finanzierung!$B$3/100/12</f>
        <v>1626.6809583968363</v>
      </c>
      <c r="E149" s="19">
        <f t="shared" si="23"/>
        <v>1573.3190416031641</v>
      </c>
      <c r="J149">
        <v>146</v>
      </c>
      <c r="K149" s="19">
        <f t="shared" si="20"/>
        <v>2240</v>
      </c>
      <c r="L149" s="19">
        <f t="shared" si="21"/>
        <v>780990.72721767775</v>
      </c>
      <c r="M149" s="19">
        <f>L149*Finanzierung!$B$3/100/12</f>
        <v>2082.6419392471407</v>
      </c>
      <c r="N149" s="19">
        <f t="shared" si="22"/>
        <v>157.35806075285927</v>
      </c>
      <c r="O149">
        <f>O148*(1+Finanzierung!$B$6/100/12)+$H$3</f>
        <v>205691.44175744054</v>
      </c>
      <c r="S149" s="22">
        <f t="shared" si="17"/>
        <v>12.166666666666666</v>
      </c>
      <c r="T149" s="19">
        <f t="shared" si="18"/>
        <v>-610005.35939881357</v>
      </c>
      <c r="U149" s="19">
        <f t="shared" si="19"/>
        <v>-575299.28546023718</v>
      </c>
    </row>
    <row r="150" spans="1:21" x14ac:dyDescent="0.2">
      <c r="A150">
        <v>147</v>
      </c>
      <c r="B150" s="19">
        <f>Finanzierung!$B$5</f>
        <v>3200.0000000000005</v>
      </c>
      <c r="C150" s="19">
        <f t="shared" si="16"/>
        <v>608432.04035721044</v>
      </c>
      <c r="D150" s="19">
        <f>C150*Finanzierung!$B$3/100/12</f>
        <v>1622.4854409525615</v>
      </c>
      <c r="E150" s="19">
        <f t="shared" si="23"/>
        <v>1577.514559047439</v>
      </c>
      <c r="J150">
        <v>147</v>
      </c>
      <c r="K150" s="19">
        <f t="shared" si="20"/>
        <v>2240</v>
      </c>
      <c r="L150" s="19">
        <f t="shared" si="21"/>
        <v>780833.36915692489</v>
      </c>
      <c r="M150" s="19">
        <f>L150*Finanzierung!$B$3/100/12</f>
        <v>2082.2223177517994</v>
      </c>
      <c r="N150" s="19">
        <f t="shared" si="22"/>
        <v>157.77768224820056</v>
      </c>
      <c r="O150">
        <f>O149*(1+Finanzierung!$B$6/100/12)+$H$3</f>
        <v>207679.89896622772</v>
      </c>
      <c r="S150" s="22">
        <f t="shared" si="17"/>
        <v>12.25</v>
      </c>
      <c r="T150" s="19">
        <f t="shared" si="18"/>
        <v>-608432.04035721044</v>
      </c>
      <c r="U150" s="19">
        <f t="shared" si="19"/>
        <v>-573153.47019069712</v>
      </c>
    </row>
    <row r="151" spans="1:21" x14ac:dyDescent="0.2">
      <c r="A151">
        <v>148</v>
      </c>
      <c r="B151" s="19">
        <f>Finanzierung!$B$5</f>
        <v>3200.0000000000005</v>
      </c>
      <c r="C151" s="19">
        <f t="shared" si="16"/>
        <v>606854.52579816303</v>
      </c>
      <c r="D151" s="19">
        <f>C151*Finanzierung!$B$3/100/12</f>
        <v>1618.2787354617683</v>
      </c>
      <c r="E151" s="19">
        <f t="shared" si="23"/>
        <v>1581.7212645382322</v>
      </c>
      <c r="J151">
        <v>148</v>
      </c>
      <c r="K151" s="19">
        <f t="shared" si="20"/>
        <v>2240</v>
      </c>
      <c r="L151" s="19">
        <f t="shared" si="21"/>
        <v>780675.59147467674</v>
      </c>
      <c r="M151" s="19">
        <f>L151*Finanzierung!$B$3/100/12</f>
        <v>2081.801577265805</v>
      </c>
      <c r="N151" s="19">
        <f t="shared" si="22"/>
        <v>158.19842273419499</v>
      </c>
      <c r="O151">
        <f>O150*(1+Finanzierung!$B$6/100/12)+$H$3</f>
        <v>209678.29846105885</v>
      </c>
      <c r="S151" s="22">
        <f t="shared" si="17"/>
        <v>12.333333333333334</v>
      </c>
      <c r="T151" s="19">
        <f t="shared" si="18"/>
        <v>-606854.52579816303</v>
      </c>
      <c r="U151" s="19">
        <f t="shared" si="19"/>
        <v>-570997.29301361786</v>
      </c>
    </row>
    <row r="152" spans="1:21" x14ac:dyDescent="0.2">
      <c r="A152">
        <v>149</v>
      </c>
      <c r="B152" s="19">
        <f>Finanzierung!$B$5</f>
        <v>3200.0000000000005</v>
      </c>
      <c r="C152" s="19">
        <f t="shared" si="16"/>
        <v>605272.80453362479</v>
      </c>
      <c r="D152" s="19">
        <f>C152*Finanzierung!$B$3/100/12</f>
        <v>1614.0608120896661</v>
      </c>
      <c r="E152" s="19">
        <f t="shared" si="23"/>
        <v>1585.9391879103343</v>
      </c>
      <c r="J152">
        <v>149</v>
      </c>
      <c r="K152" s="19">
        <f t="shared" si="20"/>
        <v>2240</v>
      </c>
      <c r="L152" s="19">
        <f t="shared" si="21"/>
        <v>780517.39305194258</v>
      </c>
      <c r="M152" s="19">
        <f>L152*Finanzierung!$B$3/100/12</f>
        <v>2081.3797148051804</v>
      </c>
      <c r="N152" s="19">
        <f t="shared" si="22"/>
        <v>158.62028519481964</v>
      </c>
      <c r="O152">
        <f>O151*(1+Finanzierung!$B$6/100/12)+$H$3</f>
        <v>211686.68995336411</v>
      </c>
      <c r="S152" s="22">
        <f t="shared" si="17"/>
        <v>12.416666666666666</v>
      </c>
      <c r="T152" s="19">
        <f t="shared" si="18"/>
        <v>-605272.80453362479</v>
      </c>
      <c r="U152" s="19">
        <f t="shared" si="19"/>
        <v>-568830.70309857849</v>
      </c>
    </row>
    <row r="153" spans="1:21" x14ac:dyDescent="0.2">
      <c r="A153">
        <v>150</v>
      </c>
      <c r="B153" s="19">
        <f>Finanzierung!$B$5</f>
        <v>3200.0000000000005</v>
      </c>
      <c r="C153" s="19">
        <f t="shared" si="16"/>
        <v>603686.8653457145</v>
      </c>
      <c r="D153" s="19">
        <f>C153*Finanzierung!$B$3/100/12</f>
        <v>1609.8316409219053</v>
      </c>
      <c r="E153" s="19">
        <f t="shared" si="23"/>
        <v>1590.1683590780951</v>
      </c>
      <c r="J153">
        <v>150</v>
      </c>
      <c r="K153" s="19">
        <f t="shared" si="20"/>
        <v>2240</v>
      </c>
      <c r="L153" s="19">
        <f t="shared" si="21"/>
        <v>780358.77276674774</v>
      </c>
      <c r="M153" s="19">
        <f>L153*Finanzierung!$B$3/100/12</f>
        <v>2080.956727377994</v>
      </c>
      <c r="N153" s="19">
        <f t="shared" si="22"/>
        <v>159.04327262200604</v>
      </c>
      <c r="O153">
        <f>O152*(1+Finanzierung!$B$6/100/12)+$H$3</f>
        <v>213705.12340313091</v>
      </c>
      <c r="S153" s="22">
        <f t="shared" si="17"/>
        <v>12.5</v>
      </c>
      <c r="T153" s="19">
        <f t="shared" si="18"/>
        <v>-603686.8653457145</v>
      </c>
      <c r="U153" s="19">
        <f t="shared" si="19"/>
        <v>-566653.64936361683</v>
      </c>
    </row>
    <row r="154" spans="1:21" x14ac:dyDescent="0.2">
      <c r="A154">
        <v>151</v>
      </c>
      <c r="B154" s="19">
        <f>Finanzierung!$B$5</f>
        <v>3200.0000000000005</v>
      </c>
      <c r="C154" s="19">
        <f t="shared" si="16"/>
        <v>602096.69698663638</v>
      </c>
      <c r="D154" s="19">
        <f>C154*Finanzierung!$B$3/100/12</f>
        <v>1605.5911919643638</v>
      </c>
      <c r="E154" s="19">
        <f t="shared" si="23"/>
        <v>1594.4088080356366</v>
      </c>
      <c r="J154">
        <v>151</v>
      </c>
      <c r="K154" s="19">
        <f t="shared" si="20"/>
        <v>2240</v>
      </c>
      <c r="L154" s="19">
        <f t="shared" si="21"/>
        <v>780199.7294941257</v>
      </c>
      <c r="M154" s="19">
        <f>L154*Finanzierung!$B$3/100/12</f>
        <v>2080.5326119843353</v>
      </c>
      <c r="N154" s="19">
        <f t="shared" si="22"/>
        <v>159.46738801566471</v>
      </c>
      <c r="O154">
        <f>O153*(1+Finanzierung!$B$6/100/12)+$H$3</f>
        <v>215733.64902014655</v>
      </c>
      <c r="S154" s="22">
        <f t="shared" si="17"/>
        <v>12.583333333333334</v>
      </c>
      <c r="T154" s="19">
        <f t="shared" si="18"/>
        <v>-602096.69698663638</v>
      </c>
      <c r="U154" s="19">
        <f t="shared" si="19"/>
        <v>-564466.08047397912</v>
      </c>
    </row>
    <row r="155" spans="1:21" x14ac:dyDescent="0.2">
      <c r="A155">
        <v>152</v>
      </c>
      <c r="B155" s="19">
        <f>Finanzierung!$B$5</f>
        <v>3200.0000000000005</v>
      </c>
      <c r="C155" s="19">
        <f t="shared" si="16"/>
        <v>600502.28817860072</v>
      </c>
      <c r="D155" s="19">
        <f>C155*Finanzierung!$B$3/100/12</f>
        <v>1601.3394351429351</v>
      </c>
      <c r="E155" s="19">
        <f t="shared" si="23"/>
        <v>1598.6605648570653</v>
      </c>
      <c r="J155">
        <v>152</v>
      </c>
      <c r="K155" s="19">
        <f t="shared" si="20"/>
        <v>2240</v>
      </c>
      <c r="L155" s="19">
        <f t="shared" si="21"/>
        <v>780040.26210610999</v>
      </c>
      <c r="M155" s="19">
        <f>L155*Finanzierung!$B$3/100/12</f>
        <v>2080.1073656162935</v>
      </c>
      <c r="N155" s="19">
        <f t="shared" si="22"/>
        <v>159.89263438370654</v>
      </c>
      <c r="O155">
        <f>O154*(1+Finanzierung!$B$6/100/12)+$H$3</f>
        <v>217772.31726524726</v>
      </c>
      <c r="S155" s="22">
        <f t="shared" si="17"/>
        <v>12.666666666666666</v>
      </c>
      <c r="T155" s="19">
        <f t="shared" si="18"/>
        <v>-600502.28817860072</v>
      </c>
      <c r="U155" s="19">
        <f t="shared" si="19"/>
        <v>-562267.94484086276</v>
      </c>
    </row>
    <row r="156" spans="1:21" x14ac:dyDescent="0.2">
      <c r="A156">
        <v>153</v>
      </c>
      <c r="B156" s="19">
        <f>Finanzierung!$B$5</f>
        <v>3200.0000000000005</v>
      </c>
      <c r="C156" s="19">
        <f t="shared" si="16"/>
        <v>598903.62761374365</v>
      </c>
      <c r="D156" s="19">
        <f>C156*Finanzierung!$B$3/100/12</f>
        <v>1597.0763403033163</v>
      </c>
      <c r="E156" s="19">
        <f t="shared" si="23"/>
        <v>1602.9236596966841</v>
      </c>
      <c r="J156">
        <v>153</v>
      </c>
      <c r="K156" s="19">
        <f t="shared" si="20"/>
        <v>2240</v>
      </c>
      <c r="L156" s="19">
        <f t="shared" si="21"/>
        <v>779880.36947172624</v>
      </c>
      <c r="M156" s="19">
        <f>L156*Finanzierung!$B$3/100/12</f>
        <v>2079.6809852579368</v>
      </c>
      <c r="N156" s="19">
        <f t="shared" si="22"/>
        <v>160.31901474206325</v>
      </c>
      <c r="O156">
        <f>O155*(1+Finanzierung!$B$6/100/12)+$H$3</f>
        <v>219821.17885157347</v>
      </c>
      <c r="S156" s="22">
        <f t="shared" si="17"/>
        <v>12.75</v>
      </c>
      <c r="T156" s="19">
        <f t="shared" si="18"/>
        <v>-598903.62761374365</v>
      </c>
      <c r="U156" s="19">
        <f t="shared" si="19"/>
        <v>-560059.19062015275</v>
      </c>
    </row>
    <row r="157" spans="1:21" x14ac:dyDescent="0.2">
      <c r="A157">
        <v>154</v>
      </c>
      <c r="B157" s="19">
        <f>Finanzierung!$B$5</f>
        <v>3200.0000000000005</v>
      </c>
      <c r="C157" s="19">
        <f t="shared" si="16"/>
        <v>597300.70395404694</v>
      </c>
      <c r="D157" s="19">
        <f>C157*Finanzierung!$B$3/100/12</f>
        <v>1592.8018772107919</v>
      </c>
      <c r="E157" s="19">
        <f t="shared" si="23"/>
        <v>1607.1981227892086</v>
      </c>
      <c r="J157">
        <v>154</v>
      </c>
      <c r="K157" s="19">
        <f t="shared" si="20"/>
        <v>2240</v>
      </c>
      <c r="L157" s="19">
        <f t="shared" si="21"/>
        <v>779720.0504569842</v>
      </c>
      <c r="M157" s="19">
        <f>L157*Finanzierung!$B$3/100/12</f>
        <v>2079.2534678852912</v>
      </c>
      <c r="N157" s="19">
        <f t="shared" si="22"/>
        <v>160.74653211470877</v>
      </c>
      <c r="O157">
        <f>O156*(1+Finanzierung!$B$6/100/12)+$H$3</f>
        <v>221880.2847458313</v>
      </c>
      <c r="S157" s="22">
        <f t="shared" si="17"/>
        <v>12.833333333333334</v>
      </c>
      <c r="T157" s="19">
        <f t="shared" si="18"/>
        <v>-597300.70395404694</v>
      </c>
      <c r="U157" s="19">
        <f t="shared" si="19"/>
        <v>-557839.76571115293</v>
      </c>
    </row>
    <row r="158" spans="1:21" x14ac:dyDescent="0.2">
      <c r="A158">
        <v>155</v>
      </c>
      <c r="B158" s="19">
        <f>Finanzierung!$B$5</f>
        <v>3200.0000000000005</v>
      </c>
      <c r="C158" s="19">
        <f t="shared" si="16"/>
        <v>595693.50583125779</v>
      </c>
      <c r="D158" s="19">
        <f>C158*Finanzierung!$B$3/100/12</f>
        <v>1588.5160155500207</v>
      </c>
      <c r="E158" s="19">
        <f t="shared" si="23"/>
        <v>1611.4839844499797</v>
      </c>
      <c r="J158">
        <v>155</v>
      </c>
      <c r="K158" s="19">
        <f t="shared" si="20"/>
        <v>2240</v>
      </c>
      <c r="L158" s="19">
        <f t="shared" si="21"/>
        <v>779559.30392486951</v>
      </c>
      <c r="M158" s="19">
        <f>L158*Finanzierung!$B$3/100/12</f>
        <v>2078.8248104663189</v>
      </c>
      <c r="N158" s="19">
        <f t="shared" si="22"/>
        <v>161.17518953368108</v>
      </c>
      <c r="O158">
        <f>O157*(1+Finanzierung!$B$6/100/12)+$H$3</f>
        <v>223949.68616956045</v>
      </c>
      <c r="S158" s="22">
        <f t="shared" si="17"/>
        <v>12.916666666666666</v>
      </c>
      <c r="T158" s="19">
        <f t="shared" si="18"/>
        <v>-595693.50583125779</v>
      </c>
      <c r="U158" s="19">
        <f t="shared" si="19"/>
        <v>-555609.6177553091</v>
      </c>
    </row>
    <row r="159" spans="1:21" x14ac:dyDescent="0.2">
      <c r="A159">
        <v>156</v>
      </c>
      <c r="B159" s="19">
        <f>Finanzierung!$B$5</f>
        <v>3200.0000000000005</v>
      </c>
      <c r="C159" s="19">
        <f t="shared" si="16"/>
        <v>594082.02184680779</v>
      </c>
      <c r="D159" s="19">
        <f>C159*Finanzierung!$B$3/100/12</f>
        <v>1584.2187249248209</v>
      </c>
      <c r="E159" s="19">
        <f t="shared" si="23"/>
        <v>1615.7812750751796</v>
      </c>
      <c r="J159">
        <v>156</v>
      </c>
      <c r="K159" s="19">
        <f t="shared" si="20"/>
        <v>2240</v>
      </c>
      <c r="L159" s="19">
        <f t="shared" si="21"/>
        <v>779398.12873533578</v>
      </c>
      <c r="M159" s="19">
        <f>L159*Finanzierung!$B$3/100/12</f>
        <v>2078.3950099608955</v>
      </c>
      <c r="N159" s="19">
        <f t="shared" si="22"/>
        <v>161.60499003910445</v>
      </c>
      <c r="O159">
        <f>O158*(1+Finanzierung!$B$6/100/12)+$H$3</f>
        <v>226029.43460040822</v>
      </c>
      <c r="S159" s="22">
        <f t="shared" si="17"/>
        <v>13</v>
      </c>
      <c r="T159" s="19">
        <f t="shared" si="18"/>
        <v>-594082.02184680779</v>
      </c>
      <c r="U159" s="19">
        <f t="shared" si="19"/>
        <v>-553368.69413492759</v>
      </c>
    </row>
    <row r="160" spans="1:21" x14ac:dyDescent="0.2">
      <c r="A160">
        <v>157</v>
      </c>
      <c r="B160" s="19">
        <f>Finanzierung!$B$5</f>
        <v>3200.0000000000005</v>
      </c>
      <c r="C160" s="19">
        <f t="shared" si="16"/>
        <v>592466.24057173263</v>
      </c>
      <c r="D160" s="19">
        <f>C160*Finanzierung!$B$3/100/12</f>
        <v>1579.9099748579538</v>
      </c>
      <c r="E160" s="19">
        <f t="shared" si="23"/>
        <v>1620.0900251420467</v>
      </c>
      <c r="J160">
        <v>157</v>
      </c>
      <c r="K160" s="19">
        <f t="shared" si="20"/>
        <v>2240</v>
      </c>
      <c r="L160" s="19">
        <f t="shared" si="21"/>
        <v>779236.52374529664</v>
      </c>
      <c r="M160" s="19">
        <f>L160*Finanzierung!$B$3/100/12</f>
        <v>2077.9640633207914</v>
      </c>
      <c r="N160" s="19">
        <f t="shared" si="22"/>
        <v>162.03593667920859</v>
      </c>
      <c r="O160">
        <f>O159*(1+Finanzierung!$B$6/100/12)+$H$3</f>
        <v>228119.58177341023</v>
      </c>
      <c r="S160" s="22">
        <f t="shared" si="17"/>
        <v>13.083333333333334</v>
      </c>
      <c r="T160" s="19">
        <f t="shared" si="18"/>
        <v>-592466.24057173263</v>
      </c>
      <c r="U160" s="19">
        <f t="shared" si="19"/>
        <v>-551116.94197188644</v>
      </c>
    </row>
    <row r="161" spans="1:21" x14ac:dyDescent="0.2">
      <c r="A161">
        <v>158</v>
      </c>
      <c r="B161" s="19">
        <f>Finanzierung!$B$5</f>
        <v>3200.0000000000005</v>
      </c>
      <c r="C161" s="19">
        <f t="shared" si="16"/>
        <v>590846.15054659056</v>
      </c>
      <c r="D161" s="19">
        <f>C161*Finanzierung!$B$3/100/12</f>
        <v>1575.5897347909083</v>
      </c>
      <c r="E161" s="19">
        <f t="shared" si="23"/>
        <v>1624.4102652090921</v>
      </c>
      <c r="J161">
        <v>158</v>
      </c>
      <c r="K161" s="19">
        <f t="shared" si="20"/>
        <v>2240</v>
      </c>
      <c r="L161" s="19">
        <f t="shared" si="21"/>
        <v>779074.48780861741</v>
      </c>
      <c r="M161" s="19">
        <f>L161*Finanzierung!$B$3/100/12</f>
        <v>2077.5319674896464</v>
      </c>
      <c r="N161" s="19">
        <f t="shared" si="22"/>
        <v>162.46803251035362</v>
      </c>
      <c r="O161">
        <f>O160*(1+Finanzierung!$B$6/100/12)+$H$3</f>
        <v>230220.17968227726</v>
      </c>
      <c r="S161" s="22">
        <f t="shared" si="17"/>
        <v>13.166666666666666</v>
      </c>
      <c r="T161" s="19">
        <f t="shared" si="18"/>
        <v>-590846.15054659056</v>
      </c>
      <c r="U161" s="19">
        <f t="shared" si="19"/>
        <v>-548854.30812634015</v>
      </c>
    </row>
    <row r="162" spans="1:21" x14ac:dyDescent="0.2">
      <c r="A162">
        <v>159</v>
      </c>
      <c r="B162" s="19">
        <f>Finanzierung!$B$5</f>
        <v>3200.0000000000005</v>
      </c>
      <c r="C162" s="19">
        <f t="shared" si="16"/>
        <v>589221.74028138153</v>
      </c>
      <c r="D162" s="19">
        <f>C162*Finanzierung!$B$3/100/12</f>
        <v>1571.2579740836843</v>
      </c>
      <c r="E162" s="19">
        <f t="shared" si="23"/>
        <v>1628.7420259163162</v>
      </c>
      <c r="J162">
        <v>159</v>
      </c>
      <c r="K162" s="19">
        <f t="shared" si="20"/>
        <v>2240</v>
      </c>
      <c r="L162" s="19">
        <f t="shared" si="21"/>
        <v>778912.01977610704</v>
      </c>
      <c r="M162" s="19">
        <f>L162*Finanzierung!$B$3/100/12</f>
        <v>2077.0987194029522</v>
      </c>
      <c r="N162" s="19">
        <f t="shared" si="22"/>
        <v>162.90128059704784</v>
      </c>
      <c r="O162">
        <f>O161*(1+Finanzierung!$B$6/100/12)+$H$3</f>
        <v>232331.28058068862</v>
      </c>
      <c r="S162" s="22">
        <f t="shared" si="17"/>
        <v>13.25</v>
      </c>
      <c r="T162" s="19">
        <f t="shared" si="18"/>
        <v>-589221.74028138153</v>
      </c>
      <c r="U162" s="19">
        <f t="shared" si="19"/>
        <v>-546580.73919541843</v>
      </c>
    </row>
    <row r="163" spans="1:21" x14ac:dyDescent="0.2">
      <c r="A163">
        <v>160</v>
      </c>
      <c r="B163" s="19">
        <f>Finanzierung!$B$5</f>
        <v>3200.0000000000005</v>
      </c>
      <c r="C163" s="19">
        <f t="shared" si="16"/>
        <v>587592.99825546518</v>
      </c>
      <c r="D163" s="19">
        <f>C163*Finanzierung!$B$3/100/12</f>
        <v>1566.9146620145739</v>
      </c>
      <c r="E163" s="19">
        <f t="shared" si="23"/>
        <v>1633.0853379854266</v>
      </c>
      <c r="J163">
        <v>160</v>
      </c>
      <c r="K163" s="19">
        <f t="shared" si="20"/>
        <v>2240</v>
      </c>
      <c r="L163" s="19">
        <f t="shared" si="21"/>
        <v>778749.11849550996</v>
      </c>
      <c r="M163" s="19">
        <f>L163*Finanzierung!$B$3/100/12</f>
        <v>2076.6643159880268</v>
      </c>
      <c r="N163" s="19">
        <f t="shared" si="22"/>
        <v>163.33568401197317</v>
      </c>
      <c r="O163">
        <f>O162*(1+Finanzierung!$B$6/100/12)+$H$3</f>
        <v>234452.93698359202</v>
      </c>
      <c r="S163" s="22">
        <f t="shared" si="17"/>
        <v>13.333333333333334</v>
      </c>
      <c r="T163" s="19">
        <f t="shared" si="18"/>
        <v>-587592.99825546518</v>
      </c>
      <c r="U163" s="19">
        <f t="shared" si="19"/>
        <v>-544296.18151191797</v>
      </c>
    </row>
    <row r="164" spans="1:21" x14ac:dyDescent="0.2">
      <c r="A164">
        <v>161</v>
      </c>
      <c r="B164" s="19">
        <f>Finanzierung!$B$5</f>
        <v>3200.0000000000005</v>
      </c>
      <c r="C164" s="19">
        <f t="shared" si="16"/>
        <v>585959.91291747976</v>
      </c>
      <c r="D164" s="19">
        <f>C164*Finanzierung!$B$3/100/12</f>
        <v>1562.5597677799462</v>
      </c>
      <c r="E164" s="19">
        <f t="shared" si="23"/>
        <v>1637.4402322200542</v>
      </c>
      <c r="J164">
        <v>161</v>
      </c>
      <c r="K164" s="19">
        <f t="shared" si="20"/>
        <v>2240</v>
      </c>
      <c r="L164" s="19">
        <f t="shared" si="21"/>
        <v>778585.78281149804</v>
      </c>
      <c r="M164" s="19">
        <f>L164*Finanzierung!$B$3/100/12</f>
        <v>2076.2287541639948</v>
      </c>
      <c r="N164" s="19">
        <f t="shared" si="22"/>
        <v>163.77124583600516</v>
      </c>
      <c r="O164">
        <f>O163*(1+Finanzierung!$B$6/100/12)+$H$3</f>
        <v>236585.20166850995</v>
      </c>
      <c r="S164" s="22">
        <f t="shared" si="17"/>
        <v>13.416666666666666</v>
      </c>
      <c r="T164" s="19">
        <f t="shared" si="18"/>
        <v>-585959.91291747976</v>
      </c>
      <c r="U164" s="19">
        <f t="shared" si="19"/>
        <v>-542000.58114298806</v>
      </c>
    </row>
    <row r="165" spans="1:21" x14ac:dyDescent="0.2">
      <c r="A165">
        <v>162</v>
      </c>
      <c r="B165" s="19">
        <f>Finanzierung!$B$5</f>
        <v>3200.0000000000005</v>
      </c>
      <c r="C165" s="19">
        <f t="shared" si="16"/>
        <v>584322.47268525965</v>
      </c>
      <c r="D165" s="19">
        <f>C165*Finanzierung!$B$3/100/12</f>
        <v>1558.1932604940259</v>
      </c>
      <c r="E165" s="19">
        <f t="shared" si="23"/>
        <v>1641.8067395059745</v>
      </c>
      <c r="J165">
        <v>162</v>
      </c>
      <c r="K165" s="19">
        <f t="shared" si="20"/>
        <v>2240</v>
      </c>
      <c r="L165" s="19">
        <f t="shared" si="21"/>
        <v>778422.01156566199</v>
      </c>
      <c r="M165" s="19">
        <f>L165*Finanzierung!$B$3/100/12</f>
        <v>2075.7920308417652</v>
      </c>
      <c r="N165" s="19">
        <f t="shared" si="22"/>
        <v>164.20796915823485</v>
      </c>
      <c r="O165">
        <f>O164*(1+Finanzierung!$B$6/100/12)+$H$3</f>
        <v>238728.12767685248</v>
      </c>
      <c r="S165" s="22">
        <f t="shared" si="17"/>
        <v>13.5</v>
      </c>
      <c r="T165" s="19">
        <f t="shared" si="18"/>
        <v>-584322.47268525965</v>
      </c>
      <c r="U165" s="19">
        <f t="shared" si="19"/>
        <v>-539693.88388880948</v>
      </c>
    </row>
    <row r="166" spans="1:21" x14ac:dyDescent="0.2">
      <c r="A166">
        <v>163</v>
      </c>
      <c r="B166" s="19">
        <f>Finanzierung!$B$5</f>
        <v>3200.0000000000005</v>
      </c>
      <c r="C166" s="19">
        <f t="shared" si="16"/>
        <v>582680.66594575369</v>
      </c>
      <c r="D166" s="19">
        <f>C166*Finanzierung!$B$3/100/12</f>
        <v>1553.8151091886766</v>
      </c>
      <c r="E166" s="19">
        <f t="shared" si="23"/>
        <v>1646.1848908113238</v>
      </c>
      <c r="J166">
        <v>163</v>
      </c>
      <c r="K166" s="19">
        <f t="shared" si="20"/>
        <v>2240</v>
      </c>
      <c r="L166" s="19">
        <f t="shared" si="21"/>
        <v>778257.8035965038</v>
      </c>
      <c r="M166" s="19">
        <f>L166*Finanzierung!$B$3/100/12</f>
        <v>2075.3541429240099</v>
      </c>
      <c r="N166" s="19">
        <f t="shared" si="22"/>
        <v>164.64585707599008</v>
      </c>
      <c r="O166">
        <f>O165*(1+Finanzierung!$B$6/100/12)+$H$3</f>
        <v>240881.76831523672</v>
      </c>
      <c r="S166" s="22">
        <f t="shared" si="17"/>
        <v>13.583333333333334</v>
      </c>
      <c r="T166" s="19">
        <f t="shared" si="18"/>
        <v>-582680.66594575369</v>
      </c>
      <c r="U166" s="19">
        <f t="shared" si="19"/>
        <v>-537376.03528126702</v>
      </c>
    </row>
    <row r="167" spans="1:21" x14ac:dyDescent="0.2">
      <c r="A167">
        <v>164</v>
      </c>
      <c r="B167" s="19">
        <f>Finanzierung!$B$5</f>
        <v>3200.0000000000005</v>
      </c>
      <c r="C167" s="19">
        <f t="shared" si="16"/>
        <v>581034.48105494236</v>
      </c>
      <c r="D167" s="19">
        <f>C167*Finanzierung!$B$3/100/12</f>
        <v>1549.4252828131796</v>
      </c>
      <c r="E167" s="19">
        <f t="shared" si="23"/>
        <v>1650.5747171868209</v>
      </c>
      <c r="J167">
        <v>164</v>
      </c>
      <c r="K167" s="19">
        <f t="shared" si="20"/>
        <v>2240</v>
      </c>
      <c r="L167" s="19">
        <f t="shared" si="21"/>
        <v>778093.15773942776</v>
      </c>
      <c r="M167" s="19">
        <f>L167*Finanzierung!$B$3/100/12</f>
        <v>2074.9150873051408</v>
      </c>
      <c r="N167" s="19">
        <f t="shared" si="22"/>
        <v>165.08491269485921</v>
      </c>
      <c r="O167">
        <f>O166*(1+Finanzierung!$B$6/100/12)+$H$3</f>
        <v>243046.17715681289</v>
      </c>
      <c r="S167" s="22">
        <f t="shared" si="17"/>
        <v>13.666666666666666</v>
      </c>
      <c r="T167" s="19">
        <f t="shared" si="18"/>
        <v>-581034.48105494236</v>
      </c>
      <c r="U167" s="19">
        <f t="shared" si="19"/>
        <v>-535046.98058261489</v>
      </c>
    </row>
    <row r="168" spans="1:21" x14ac:dyDescent="0.2">
      <c r="A168">
        <v>165</v>
      </c>
      <c r="B168" s="19">
        <f>Finanzierung!$B$5</f>
        <v>3200.0000000000005</v>
      </c>
      <c r="C168" s="19">
        <f t="shared" si="16"/>
        <v>579383.9063377555</v>
      </c>
      <c r="D168" s="19">
        <f>C168*Finanzierung!$B$3/100/12</f>
        <v>1545.0237502340149</v>
      </c>
      <c r="E168" s="19">
        <f t="shared" si="23"/>
        <v>1654.9762497659856</v>
      </c>
      <c r="J168">
        <v>165</v>
      </c>
      <c r="K168" s="19">
        <f t="shared" si="20"/>
        <v>2240</v>
      </c>
      <c r="L168" s="19">
        <f t="shared" si="21"/>
        <v>777928.07282673288</v>
      </c>
      <c r="M168" s="19">
        <f>L168*Finanzierung!$B$3/100/12</f>
        <v>2074.474860871288</v>
      </c>
      <c r="N168" s="19">
        <f t="shared" si="22"/>
        <v>165.525139128712</v>
      </c>
      <c r="O168">
        <f>O167*(1+Finanzierung!$B$6/100/12)+$H$3</f>
        <v>245221.40804259692</v>
      </c>
      <c r="S168" s="22">
        <f t="shared" si="17"/>
        <v>13.75</v>
      </c>
      <c r="T168" s="19">
        <f t="shared" si="18"/>
        <v>-579383.9063377555</v>
      </c>
      <c r="U168" s="19">
        <f t="shared" si="19"/>
        <v>-532706.664784136</v>
      </c>
    </row>
    <row r="169" spans="1:21" x14ac:dyDescent="0.2">
      <c r="A169">
        <v>166</v>
      </c>
      <c r="B169" s="19">
        <f>Finanzierung!$B$5</f>
        <v>3200.0000000000005</v>
      </c>
      <c r="C169" s="19">
        <f t="shared" si="16"/>
        <v>577728.93008798955</v>
      </c>
      <c r="D169" s="19">
        <f>C169*Finanzierung!$B$3/100/12</f>
        <v>1540.610480234639</v>
      </c>
      <c r="E169" s="19">
        <f t="shared" si="23"/>
        <v>1659.3895197653615</v>
      </c>
      <c r="J169">
        <v>166</v>
      </c>
      <c r="K169" s="19">
        <f t="shared" si="20"/>
        <v>2240</v>
      </c>
      <c r="L169" s="19">
        <f t="shared" si="21"/>
        <v>777762.54768760421</v>
      </c>
      <c r="M169" s="19">
        <f>L169*Finanzierung!$B$3/100/12</f>
        <v>2074.0334605002777</v>
      </c>
      <c r="N169" s="19">
        <f t="shared" si="22"/>
        <v>165.96653949972233</v>
      </c>
      <c r="O169">
        <f>O168*(1+Finanzierung!$B$6/100/12)+$H$3</f>
        <v>247407.51508280987</v>
      </c>
      <c r="S169" s="22">
        <f t="shared" si="17"/>
        <v>13.833333333333334</v>
      </c>
      <c r="T169" s="19">
        <f t="shared" si="18"/>
        <v>-577728.93008798955</v>
      </c>
      <c r="U169" s="19">
        <f t="shared" si="19"/>
        <v>-530355.03260479437</v>
      </c>
    </row>
    <row r="170" spans="1:21" x14ac:dyDescent="0.2">
      <c r="A170">
        <v>167</v>
      </c>
      <c r="B170" s="19">
        <f>Finanzierung!$B$5</f>
        <v>3200.0000000000005</v>
      </c>
      <c r="C170" s="19">
        <f t="shared" si="16"/>
        <v>576069.54056822415</v>
      </c>
      <c r="D170" s="19">
        <f>C170*Finanzierung!$B$3/100/12</f>
        <v>1536.1854415152645</v>
      </c>
      <c r="E170" s="19">
        <f t="shared" si="23"/>
        <v>1663.8145584847359</v>
      </c>
      <c r="J170">
        <v>167</v>
      </c>
      <c r="K170" s="19">
        <f t="shared" si="20"/>
        <v>2240</v>
      </c>
      <c r="L170" s="19">
        <f t="shared" si="21"/>
        <v>777596.58114810451</v>
      </c>
      <c r="M170" s="19">
        <f>L170*Finanzierung!$B$3/100/12</f>
        <v>2073.5908830616122</v>
      </c>
      <c r="N170" s="19">
        <f t="shared" si="22"/>
        <v>166.4091169383878</v>
      </c>
      <c r="O170">
        <f>O169*(1+Finanzierung!$B$6/100/12)+$H$3</f>
        <v>249604.5526582239</v>
      </c>
      <c r="S170" s="22">
        <f t="shared" si="17"/>
        <v>13.916666666666666</v>
      </c>
      <c r="T170" s="19">
        <f t="shared" si="18"/>
        <v>-576069.54056822415</v>
      </c>
      <c r="U170" s="19">
        <f t="shared" si="19"/>
        <v>-527992.02848988061</v>
      </c>
    </row>
    <row r="171" spans="1:21" x14ac:dyDescent="0.2">
      <c r="A171">
        <v>168</v>
      </c>
      <c r="B171" s="19">
        <f>Finanzierung!$B$5</f>
        <v>3200.0000000000005</v>
      </c>
      <c r="C171" s="19">
        <f t="shared" si="16"/>
        <v>574405.72600973945</v>
      </c>
      <c r="D171" s="19">
        <f>C171*Finanzierung!$B$3/100/12</f>
        <v>1531.7486026926383</v>
      </c>
      <c r="E171" s="19">
        <f t="shared" si="23"/>
        <v>1668.2513973073621</v>
      </c>
      <c r="J171">
        <v>168</v>
      </c>
      <c r="K171" s="19">
        <f t="shared" si="20"/>
        <v>2240</v>
      </c>
      <c r="L171" s="19">
        <f t="shared" si="21"/>
        <v>777430.17203116615</v>
      </c>
      <c r="M171" s="19">
        <f>L171*Finanzierung!$B$3/100/12</f>
        <v>2073.147125416443</v>
      </c>
      <c r="N171" s="19">
        <f t="shared" si="22"/>
        <v>166.85287458355697</v>
      </c>
      <c r="O171">
        <f>O170*(1+Finanzierung!$B$6/100/12)+$H$3</f>
        <v>251812.57542151498</v>
      </c>
      <c r="S171" s="22">
        <f t="shared" si="17"/>
        <v>14</v>
      </c>
      <c r="T171" s="19">
        <f t="shared" si="18"/>
        <v>-574405.72600973945</v>
      </c>
      <c r="U171" s="19">
        <f t="shared" si="19"/>
        <v>-525617.59660965111</v>
      </c>
    </row>
    <row r="172" spans="1:21" x14ac:dyDescent="0.2">
      <c r="A172">
        <v>169</v>
      </c>
      <c r="B172" s="19">
        <f>Finanzierung!$B$5</f>
        <v>3200.0000000000005</v>
      </c>
      <c r="C172" s="19">
        <f t="shared" si="16"/>
        <v>572737.47461243207</v>
      </c>
      <c r="D172" s="19">
        <f>C172*Finanzierung!$B$3/100/12</f>
        <v>1527.2999322998191</v>
      </c>
      <c r="E172" s="19">
        <f t="shared" si="23"/>
        <v>1672.7000677001813</v>
      </c>
      <c r="J172">
        <v>169</v>
      </c>
      <c r="K172" s="19">
        <f t="shared" si="20"/>
        <v>2240</v>
      </c>
      <c r="L172" s="19">
        <f t="shared" si="21"/>
        <v>777263.31915658258</v>
      </c>
      <c r="M172" s="19">
        <f>L172*Finanzierung!$B$3/100/12</f>
        <v>2072.7021844175538</v>
      </c>
      <c r="N172" s="19">
        <f t="shared" si="22"/>
        <v>167.29781558244622</v>
      </c>
      <c r="O172">
        <f>O171*(1+Finanzierung!$B$6/100/12)+$H$3</f>
        <v>254031.63829862254</v>
      </c>
      <c r="S172" s="22">
        <f t="shared" si="17"/>
        <v>14.083333333333334</v>
      </c>
      <c r="T172" s="19">
        <f t="shared" si="18"/>
        <v>-572737.47461243207</v>
      </c>
      <c r="U172" s="19">
        <f t="shared" si="19"/>
        <v>-523231.68085796002</v>
      </c>
    </row>
    <row r="173" spans="1:21" x14ac:dyDescent="0.2">
      <c r="A173">
        <v>170</v>
      </c>
      <c r="B173" s="19">
        <f>Finanzierung!$B$5</f>
        <v>3200.0000000000005</v>
      </c>
      <c r="C173" s="19">
        <f t="shared" si="16"/>
        <v>571064.77454473183</v>
      </c>
      <c r="D173" s="19">
        <f>C173*Finanzierung!$B$3/100/12</f>
        <v>1522.8393987859515</v>
      </c>
      <c r="E173" s="19">
        <f t="shared" si="23"/>
        <v>1677.1606012140489</v>
      </c>
      <c r="J173">
        <v>170</v>
      </c>
      <c r="K173" s="19">
        <f t="shared" si="20"/>
        <v>2240</v>
      </c>
      <c r="L173" s="19">
        <f t="shared" si="21"/>
        <v>777096.0213410001</v>
      </c>
      <c r="M173" s="19">
        <f>L173*Finanzierung!$B$3/100/12</f>
        <v>2072.2560569093339</v>
      </c>
      <c r="N173" s="19">
        <f t="shared" si="22"/>
        <v>167.74394309066611</v>
      </c>
      <c r="O173">
        <f>O172*(1+Finanzierung!$B$6/100/12)+$H$3</f>
        <v>256261.79649011561</v>
      </c>
      <c r="S173" s="22">
        <f t="shared" si="17"/>
        <v>14.166666666666666</v>
      </c>
      <c r="T173" s="19">
        <f t="shared" si="18"/>
        <v>-571064.77454473183</v>
      </c>
      <c r="U173" s="19">
        <f t="shared" si="19"/>
        <v>-520834.22485088452</v>
      </c>
    </row>
    <row r="174" spans="1:21" x14ac:dyDescent="0.2">
      <c r="A174">
        <v>171</v>
      </c>
      <c r="B174" s="19">
        <f>Finanzierung!$B$5</f>
        <v>3200.0000000000005</v>
      </c>
      <c r="C174" s="19">
        <f t="shared" si="16"/>
        <v>569387.61394351779</v>
      </c>
      <c r="D174" s="19">
        <f>C174*Finanzierung!$B$3/100/12</f>
        <v>1518.3669705160473</v>
      </c>
      <c r="E174" s="19">
        <f t="shared" si="23"/>
        <v>1681.6330294839531</v>
      </c>
      <c r="J174">
        <v>171</v>
      </c>
      <c r="K174" s="19">
        <f t="shared" si="20"/>
        <v>2240</v>
      </c>
      <c r="L174" s="19">
        <f t="shared" si="21"/>
        <v>776928.27739790943</v>
      </c>
      <c r="M174" s="19">
        <f>L174*Finanzierung!$B$3/100/12</f>
        <v>2071.8087397277582</v>
      </c>
      <c r="N174" s="19">
        <f t="shared" si="22"/>
        <v>168.19126027224183</v>
      </c>
      <c r="O174">
        <f>O173*(1+Finanzierung!$B$6/100/12)+$H$3</f>
        <v>258503.10547256615</v>
      </c>
      <c r="S174" s="22">
        <f t="shared" si="17"/>
        <v>14.25</v>
      </c>
      <c r="T174" s="19">
        <f t="shared" si="18"/>
        <v>-569387.61394351779</v>
      </c>
      <c r="U174" s="19">
        <f t="shared" si="19"/>
        <v>-518425.17192534328</v>
      </c>
    </row>
    <row r="175" spans="1:21" x14ac:dyDescent="0.2">
      <c r="A175">
        <v>172</v>
      </c>
      <c r="B175" s="19">
        <f>Finanzierung!$B$5</f>
        <v>3200.0000000000005</v>
      </c>
      <c r="C175" s="19">
        <f t="shared" si="16"/>
        <v>567705.98091403383</v>
      </c>
      <c r="D175" s="19">
        <f>C175*Finanzierung!$B$3/100/12</f>
        <v>1513.882615770757</v>
      </c>
      <c r="E175" s="19">
        <f t="shared" si="23"/>
        <v>1686.1173842292435</v>
      </c>
      <c r="J175">
        <v>172</v>
      </c>
      <c r="K175" s="19">
        <f t="shared" si="20"/>
        <v>2240</v>
      </c>
      <c r="L175" s="19">
        <f t="shared" si="21"/>
        <v>776760.08613763715</v>
      </c>
      <c r="M175" s="19">
        <f>L175*Finanzierung!$B$3/100/12</f>
        <v>2071.3602297003658</v>
      </c>
      <c r="N175" s="19">
        <f t="shared" si="22"/>
        <v>168.63977029963416</v>
      </c>
      <c r="O175">
        <f>O174*(1+Finanzierung!$B$6/100/12)+$H$3</f>
        <v>260755.62099992894</v>
      </c>
      <c r="S175" s="22">
        <f t="shared" si="17"/>
        <v>14.333333333333334</v>
      </c>
      <c r="T175" s="19">
        <f t="shared" si="18"/>
        <v>-567705.98091403383</v>
      </c>
      <c r="U175" s="19">
        <f t="shared" si="19"/>
        <v>-516004.46513770823</v>
      </c>
    </row>
    <row r="176" spans="1:21" x14ac:dyDescent="0.2">
      <c r="A176">
        <v>173</v>
      </c>
      <c r="B176" s="19">
        <f>Finanzierung!$B$5</f>
        <v>3200.0000000000005</v>
      </c>
      <c r="C176" s="19">
        <f t="shared" si="16"/>
        <v>566019.86352980463</v>
      </c>
      <c r="D176" s="19">
        <f>C176*Finanzierung!$B$3/100/12</f>
        <v>1509.3863027461457</v>
      </c>
      <c r="E176" s="19">
        <f t="shared" si="23"/>
        <v>1690.6136972538548</v>
      </c>
      <c r="J176">
        <v>173</v>
      </c>
      <c r="K176" s="19">
        <f t="shared" si="20"/>
        <v>2240</v>
      </c>
      <c r="L176" s="19">
        <f t="shared" si="21"/>
        <v>776591.44636733748</v>
      </c>
      <c r="M176" s="19">
        <f>L176*Finanzierung!$B$3/100/12</f>
        <v>2070.9105236462333</v>
      </c>
      <c r="N176" s="19">
        <f t="shared" si="22"/>
        <v>169.08947635376671</v>
      </c>
      <c r="O176">
        <f>O175*(1+Finanzierung!$B$6/100/12)+$H$3</f>
        <v>263019.3991049286</v>
      </c>
      <c r="S176" s="22">
        <f t="shared" si="17"/>
        <v>14.416666666666666</v>
      </c>
      <c r="T176" s="19">
        <f t="shared" si="18"/>
        <v>-566019.86352980463</v>
      </c>
      <c r="U176" s="19">
        <f t="shared" si="19"/>
        <v>-513572.04726240889</v>
      </c>
    </row>
    <row r="177" spans="1:21" x14ac:dyDescent="0.2">
      <c r="A177">
        <v>174</v>
      </c>
      <c r="B177" s="19">
        <f>Finanzierung!$B$5</f>
        <v>3200.0000000000005</v>
      </c>
      <c r="C177" s="19">
        <f t="shared" si="16"/>
        <v>564329.24983255076</v>
      </c>
      <c r="D177" s="19">
        <f>C177*Finanzierung!$B$3/100/12</f>
        <v>1504.8779995534687</v>
      </c>
      <c r="E177" s="19">
        <f t="shared" si="23"/>
        <v>1695.1220004465317</v>
      </c>
      <c r="J177">
        <v>174</v>
      </c>
      <c r="K177" s="19">
        <f t="shared" si="20"/>
        <v>2240</v>
      </c>
      <c r="L177" s="19">
        <f t="shared" si="21"/>
        <v>776422.35689098376</v>
      </c>
      <c r="M177" s="19">
        <f>L177*Finanzierung!$B$3/100/12</f>
        <v>2070.4596183759568</v>
      </c>
      <c r="N177" s="19">
        <f t="shared" si="22"/>
        <v>169.54038162404322</v>
      </c>
      <c r="O177">
        <f>O176*(1+Finanzierung!$B$6/100/12)+$H$3</f>
        <v>265294.49610045319</v>
      </c>
      <c r="S177" s="22">
        <f t="shared" si="17"/>
        <v>14.5</v>
      </c>
      <c r="T177" s="19">
        <f t="shared" si="18"/>
        <v>-564329.24983255076</v>
      </c>
      <c r="U177" s="19">
        <f t="shared" si="19"/>
        <v>-511127.86079053057</v>
      </c>
    </row>
    <row r="178" spans="1:21" x14ac:dyDescent="0.2">
      <c r="A178">
        <v>175</v>
      </c>
      <c r="B178" s="19">
        <f>Finanzierung!$B$5</f>
        <v>3200.0000000000005</v>
      </c>
      <c r="C178" s="19">
        <f t="shared" si="16"/>
        <v>562634.12783210422</v>
      </c>
      <c r="D178" s="19">
        <f>C178*Finanzierung!$B$3/100/12</f>
        <v>1500.3576742189446</v>
      </c>
      <c r="E178" s="19">
        <f t="shared" si="23"/>
        <v>1699.6423257810559</v>
      </c>
      <c r="J178">
        <v>175</v>
      </c>
      <c r="K178" s="19">
        <f t="shared" si="20"/>
        <v>2240</v>
      </c>
      <c r="L178" s="19">
        <f t="shared" si="21"/>
        <v>776252.81650935975</v>
      </c>
      <c r="M178" s="19">
        <f>L178*Finanzierung!$B$3/100/12</f>
        <v>2070.0075106916261</v>
      </c>
      <c r="N178" s="19">
        <f t="shared" si="22"/>
        <v>169.99248930837393</v>
      </c>
      <c r="O178">
        <f>O177*(1+Finanzierung!$B$6/100/12)+$H$3</f>
        <v>267580.96858095541</v>
      </c>
      <c r="S178" s="22">
        <f t="shared" si="17"/>
        <v>14.583333333333334</v>
      </c>
      <c r="T178" s="19">
        <f t="shared" si="18"/>
        <v>-562634.12783210422</v>
      </c>
      <c r="U178" s="19">
        <f t="shared" si="19"/>
        <v>-508671.84792840434</v>
      </c>
    </row>
    <row r="179" spans="1:21" x14ac:dyDescent="0.2">
      <c r="A179">
        <v>176</v>
      </c>
      <c r="B179" s="19">
        <f>Finanzierung!$B$5</f>
        <v>3200.0000000000005</v>
      </c>
      <c r="C179" s="19">
        <f t="shared" si="16"/>
        <v>560934.48550632317</v>
      </c>
      <c r="D179" s="19">
        <f>C179*Finanzierung!$B$3/100/12</f>
        <v>1495.8252946835285</v>
      </c>
      <c r="E179" s="19">
        <f t="shared" si="23"/>
        <v>1704.174705316472</v>
      </c>
      <c r="J179">
        <v>176</v>
      </c>
      <c r="K179" s="19">
        <f t="shared" si="20"/>
        <v>2240</v>
      </c>
      <c r="L179" s="19">
        <f t="shared" si="21"/>
        <v>776082.8240200514</v>
      </c>
      <c r="M179" s="19">
        <f>L179*Finanzierung!$B$3/100/12</f>
        <v>2069.5541973868039</v>
      </c>
      <c r="N179" s="19">
        <f t="shared" si="22"/>
        <v>170.44580261319607</v>
      </c>
      <c r="O179">
        <f>O178*(1+Finanzierung!$B$6/100/12)+$H$3</f>
        <v>269878.87342386018</v>
      </c>
      <c r="S179" s="22">
        <f t="shared" si="17"/>
        <v>14.666666666666666</v>
      </c>
      <c r="T179" s="19">
        <f t="shared" si="18"/>
        <v>-560934.48550632317</v>
      </c>
      <c r="U179" s="19">
        <f t="shared" si="19"/>
        <v>-506203.95059619122</v>
      </c>
    </row>
    <row r="180" spans="1:21" x14ac:dyDescent="0.2">
      <c r="A180">
        <v>177</v>
      </c>
      <c r="B180" s="19">
        <f>Finanzierung!$B$5</f>
        <v>3200.0000000000005</v>
      </c>
      <c r="C180" s="19">
        <f t="shared" si="16"/>
        <v>559230.31080100674</v>
      </c>
      <c r="D180" s="19">
        <f>C180*Finanzierung!$B$3/100/12</f>
        <v>1491.2808288026847</v>
      </c>
      <c r="E180" s="19">
        <f t="shared" si="23"/>
        <v>1708.7191711973157</v>
      </c>
      <c r="J180">
        <v>177</v>
      </c>
      <c r="K180" s="19">
        <f t="shared" si="20"/>
        <v>2240</v>
      </c>
      <c r="L180" s="19">
        <f t="shared" si="21"/>
        <v>775912.37821743824</v>
      </c>
      <c r="M180" s="19">
        <f>L180*Finanzierung!$B$3/100/12</f>
        <v>2069.0996752465021</v>
      </c>
      <c r="N180" s="19">
        <f t="shared" si="22"/>
        <v>170.9003247534979</v>
      </c>
      <c r="O180">
        <f>O179*(1+Finanzierung!$B$6/100/12)+$H$3</f>
        <v>272188.26779097947</v>
      </c>
      <c r="S180" s="22">
        <f t="shared" si="17"/>
        <v>14.75</v>
      </c>
      <c r="T180" s="19">
        <f t="shared" si="18"/>
        <v>-559230.31080100674</v>
      </c>
      <c r="U180" s="19">
        <f t="shared" si="19"/>
        <v>-503724.11042645876</v>
      </c>
    </row>
    <row r="181" spans="1:21" x14ac:dyDescent="0.2">
      <c r="A181">
        <v>178</v>
      </c>
      <c r="B181" s="19">
        <f>Finanzierung!$B$5</f>
        <v>3200.0000000000005</v>
      </c>
      <c r="C181" s="19">
        <f t="shared" si="16"/>
        <v>557521.59162980947</v>
      </c>
      <c r="D181" s="19">
        <f>C181*Finanzierung!$B$3/100/12</f>
        <v>1486.7242443461585</v>
      </c>
      <c r="E181" s="19">
        <f t="shared" si="23"/>
        <v>1713.275755653842</v>
      </c>
      <c r="J181">
        <v>178</v>
      </c>
      <c r="K181" s="19">
        <f t="shared" si="20"/>
        <v>2240</v>
      </c>
      <c r="L181" s="19">
        <f t="shared" si="21"/>
        <v>775741.47789268475</v>
      </c>
      <c r="M181" s="19">
        <f>L181*Finanzierung!$B$3/100/12</f>
        <v>2068.6439410471594</v>
      </c>
      <c r="N181" s="19">
        <f t="shared" si="22"/>
        <v>171.35605895284061</v>
      </c>
      <c r="O181">
        <f>O180*(1+Finanzierung!$B$6/100/12)+$H$3</f>
        <v>274509.20912993432</v>
      </c>
      <c r="S181" s="22">
        <f t="shared" si="17"/>
        <v>14.833333333333334</v>
      </c>
      <c r="T181" s="19">
        <f t="shared" si="18"/>
        <v>-557521.59162980947</v>
      </c>
      <c r="U181" s="19">
        <f t="shared" si="19"/>
        <v>-501232.26876275043</v>
      </c>
    </row>
    <row r="182" spans="1:21" x14ac:dyDescent="0.2">
      <c r="A182">
        <v>179</v>
      </c>
      <c r="B182" s="19">
        <f>Finanzierung!$B$5</f>
        <v>3200.0000000000005</v>
      </c>
      <c r="C182" s="19">
        <f t="shared" si="16"/>
        <v>555808.31587415561</v>
      </c>
      <c r="D182" s="19">
        <f>C182*Finanzierung!$B$3/100/12</f>
        <v>1482.1555089977485</v>
      </c>
      <c r="E182" s="19">
        <f t="shared" si="23"/>
        <v>1717.844491002252</v>
      </c>
      <c r="J182">
        <v>179</v>
      </c>
      <c r="K182" s="19">
        <f t="shared" si="20"/>
        <v>2240</v>
      </c>
      <c r="L182" s="19">
        <f t="shared" si="21"/>
        <v>775570.12183373189</v>
      </c>
      <c r="M182" s="19">
        <f>L182*Finanzierung!$B$3/100/12</f>
        <v>2068.1869915566185</v>
      </c>
      <c r="N182" s="19">
        <f t="shared" si="22"/>
        <v>171.81300844338148</v>
      </c>
      <c r="O182">
        <f>O181*(1+Finanzierung!$B$6/100/12)+$H$3</f>
        <v>276841.75517558394</v>
      </c>
      <c r="S182" s="22">
        <f t="shared" si="17"/>
        <v>14.916666666666666</v>
      </c>
      <c r="T182" s="19">
        <f t="shared" si="18"/>
        <v>-555808.31587415561</v>
      </c>
      <c r="U182" s="19">
        <f t="shared" si="19"/>
        <v>-498728.36665814795</v>
      </c>
    </row>
    <row r="183" spans="1:21" x14ac:dyDescent="0.2">
      <c r="A183">
        <v>180</v>
      </c>
      <c r="B183" s="19">
        <f>Finanzierung!$B$5</f>
        <v>3200.0000000000005</v>
      </c>
      <c r="C183" s="19">
        <f t="shared" si="16"/>
        <v>554090.47138315334</v>
      </c>
      <c r="D183" s="19">
        <f>C183*Finanzierung!$B$3/100/12</f>
        <v>1477.5745903550758</v>
      </c>
      <c r="E183" s="19">
        <f t="shared" si="23"/>
        <v>1722.4254096449247</v>
      </c>
      <c r="J183">
        <v>180</v>
      </c>
      <c r="K183" s="19">
        <f t="shared" si="20"/>
        <v>2240</v>
      </c>
      <c r="L183" s="19">
        <f t="shared" si="21"/>
        <v>775398.30882528855</v>
      </c>
      <c r="M183" s="19">
        <f>L183*Finanzierung!$B$3/100/12</f>
        <v>2067.7288235341025</v>
      </c>
      <c r="N183" s="19">
        <f t="shared" si="22"/>
        <v>172.2711764658975</v>
      </c>
      <c r="O183">
        <f>O182*(1+Finanzierung!$B$6/100/12)+$H$3</f>
        <v>279185.96395146183</v>
      </c>
      <c r="S183" s="22">
        <f t="shared" si="17"/>
        <v>15</v>
      </c>
      <c r="T183" s="19">
        <f t="shared" si="18"/>
        <v>-554090.47138315334</v>
      </c>
      <c r="U183" s="19">
        <f t="shared" si="19"/>
        <v>-496212.34487382672</v>
      </c>
    </row>
    <row r="184" spans="1:21" x14ac:dyDescent="0.2">
      <c r="A184">
        <v>181</v>
      </c>
      <c r="B184" s="19">
        <f>Finanzierung!$B$5</f>
        <v>3200.0000000000005</v>
      </c>
      <c r="C184" s="19">
        <f t="shared" si="16"/>
        <v>552368.04597350839</v>
      </c>
      <c r="D184" s="19">
        <f>C184*Finanzierung!$B$3/100/12</f>
        <v>1472.9814559293557</v>
      </c>
      <c r="E184" s="19">
        <f t="shared" si="23"/>
        <v>1727.0185440706448</v>
      </c>
      <c r="J184">
        <v>181</v>
      </c>
      <c r="K184" s="19">
        <f t="shared" si="20"/>
        <v>2240</v>
      </c>
      <c r="L184" s="19">
        <f t="shared" si="21"/>
        <v>775226.03764882265</v>
      </c>
      <c r="M184" s="19">
        <f>L184*Finanzierung!$B$3/100/12</f>
        <v>2067.2694337301937</v>
      </c>
      <c r="N184" s="19">
        <f t="shared" si="22"/>
        <v>172.73056626980633</v>
      </c>
      <c r="O184">
        <f>O183*(1+Finanzierung!$B$6/100/12)+$H$3</f>
        <v>281541.89377121913</v>
      </c>
      <c r="S184" s="22">
        <f t="shared" si="17"/>
        <v>15.083333333333334</v>
      </c>
      <c r="T184" s="19">
        <f t="shared" si="18"/>
        <v>-552368.04597350839</v>
      </c>
      <c r="U184" s="19">
        <f t="shared" si="19"/>
        <v>-493684.14387760352</v>
      </c>
    </row>
    <row r="185" spans="1:21" x14ac:dyDescent="0.2">
      <c r="A185">
        <v>182</v>
      </c>
      <c r="B185" s="19">
        <f>Finanzierung!$B$5</f>
        <v>3200.0000000000005</v>
      </c>
      <c r="C185" s="19">
        <f t="shared" si="16"/>
        <v>550641.02742943773</v>
      </c>
      <c r="D185" s="19">
        <f>C185*Finanzierung!$B$3/100/12</f>
        <v>1468.3760731451673</v>
      </c>
      <c r="E185" s="19">
        <f t="shared" si="23"/>
        <v>1731.6239268548331</v>
      </c>
      <c r="J185">
        <v>182</v>
      </c>
      <c r="K185" s="19">
        <f t="shared" si="20"/>
        <v>2240</v>
      </c>
      <c r="L185" s="19">
        <f t="shared" si="21"/>
        <v>775053.30708255281</v>
      </c>
      <c r="M185" s="19">
        <f>L185*Finanzierung!$B$3/100/12</f>
        <v>2066.8088188868073</v>
      </c>
      <c r="N185" s="19">
        <f t="shared" si="22"/>
        <v>173.19118111319267</v>
      </c>
      <c r="O185">
        <f>O184*(1+Finanzierung!$B$6/100/12)+$H$3</f>
        <v>283909.60324007517</v>
      </c>
      <c r="S185" s="22">
        <f t="shared" si="17"/>
        <v>15.166666666666666</v>
      </c>
      <c r="T185" s="19">
        <f t="shared" si="18"/>
        <v>-550641.02742943773</v>
      </c>
      <c r="U185" s="19">
        <f t="shared" si="19"/>
        <v>-491143.70384247764</v>
      </c>
    </row>
    <row r="186" spans="1:21" x14ac:dyDescent="0.2">
      <c r="A186">
        <v>183</v>
      </c>
      <c r="B186" s="19">
        <f>Finanzierung!$B$5</f>
        <v>3200.0000000000005</v>
      </c>
      <c r="C186" s="19">
        <f t="shared" si="16"/>
        <v>548909.40350258292</v>
      </c>
      <c r="D186" s="19">
        <f>C186*Finanzierung!$B$3/100/12</f>
        <v>1463.7584093402211</v>
      </c>
      <c r="E186" s="19">
        <f t="shared" si="23"/>
        <v>1736.2415906597794</v>
      </c>
      <c r="J186">
        <v>183</v>
      </c>
      <c r="K186" s="19">
        <f t="shared" si="20"/>
        <v>2240</v>
      </c>
      <c r="L186" s="19">
        <f t="shared" si="21"/>
        <v>774880.11590143957</v>
      </c>
      <c r="M186" s="19">
        <f>L186*Finanzierung!$B$3/100/12</f>
        <v>2066.3469757371722</v>
      </c>
      <c r="N186" s="19">
        <f t="shared" si="22"/>
        <v>173.65302426282778</v>
      </c>
      <c r="O186">
        <f>O185*(1+Finanzierung!$B$6/100/12)+$H$3</f>
        <v>286289.15125627554</v>
      </c>
      <c r="S186" s="22">
        <f t="shared" si="17"/>
        <v>15.25</v>
      </c>
      <c r="T186" s="19">
        <f t="shared" si="18"/>
        <v>-548909.40350258292</v>
      </c>
      <c r="U186" s="19">
        <f t="shared" si="19"/>
        <v>-488590.96464516403</v>
      </c>
    </row>
    <row r="187" spans="1:21" x14ac:dyDescent="0.2">
      <c r="A187">
        <v>184</v>
      </c>
      <c r="B187" s="19">
        <f>Finanzierung!$B$5</f>
        <v>3200.0000000000005</v>
      </c>
      <c r="C187" s="19">
        <f t="shared" si="16"/>
        <v>547173.16191192309</v>
      </c>
      <c r="D187" s="19">
        <f>C187*Finanzierung!$B$3/100/12</f>
        <v>1459.1284317651282</v>
      </c>
      <c r="E187" s="19">
        <f t="shared" si="23"/>
        <v>1740.8715682348723</v>
      </c>
      <c r="J187">
        <v>184</v>
      </c>
      <c r="K187" s="19">
        <f t="shared" si="20"/>
        <v>2240</v>
      </c>
      <c r="L187" s="19">
        <f t="shared" si="21"/>
        <v>774706.4628771767</v>
      </c>
      <c r="M187" s="19">
        <f>L187*Finanzierung!$B$3/100/12</f>
        <v>2065.8839010058045</v>
      </c>
      <c r="N187" s="19">
        <f t="shared" si="22"/>
        <v>174.11609899419545</v>
      </c>
      <c r="O187">
        <f>O186*(1+Finanzierung!$B$6/100/12)+$H$3</f>
        <v>288680.59701255686</v>
      </c>
      <c r="S187" s="22">
        <f t="shared" si="17"/>
        <v>15.333333333333334</v>
      </c>
      <c r="T187" s="19">
        <f t="shared" si="18"/>
        <v>-547173.16191192309</v>
      </c>
      <c r="U187" s="19">
        <f t="shared" si="19"/>
        <v>-486025.86586461985</v>
      </c>
    </row>
    <row r="188" spans="1:21" x14ac:dyDescent="0.2">
      <c r="A188">
        <v>185</v>
      </c>
      <c r="B188" s="19">
        <f>Finanzierung!$B$5</f>
        <v>3200.0000000000005</v>
      </c>
      <c r="C188" s="19">
        <f t="shared" ref="C188:C251" si="24">C187-E187</f>
        <v>545432.29034368822</v>
      </c>
      <c r="D188" s="19">
        <f>C188*Finanzierung!$B$3/100/12</f>
        <v>1454.4861075831686</v>
      </c>
      <c r="E188" s="19">
        <f t="shared" si="23"/>
        <v>1745.5138924168318</v>
      </c>
      <c r="J188">
        <v>185</v>
      </c>
      <c r="K188" s="19">
        <f t="shared" si="20"/>
        <v>2240</v>
      </c>
      <c r="L188" s="19">
        <f t="shared" si="21"/>
        <v>774532.34677818255</v>
      </c>
      <c r="M188" s="19">
        <f>L188*Finanzierung!$B$3/100/12</f>
        <v>2065.4195914084867</v>
      </c>
      <c r="N188" s="19">
        <f t="shared" si="22"/>
        <v>174.58040859151333</v>
      </c>
      <c r="O188">
        <f>O187*(1+Finanzierung!$B$6/100/12)+$H$3</f>
        <v>291083.9999976196</v>
      </c>
      <c r="S188" s="22">
        <f t="shared" si="17"/>
        <v>15.416666666666666</v>
      </c>
      <c r="T188" s="19">
        <f t="shared" si="18"/>
        <v>-545432.29034368822</v>
      </c>
      <c r="U188" s="19">
        <f t="shared" si="19"/>
        <v>-483448.34678056295</v>
      </c>
    </row>
    <row r="189" spans="1:21" x14ac:dyDescent="0.2">
      <c r="A189">
        <v>186</v>
      </c>
      <c r="B189" s="19">
        <f>Finanzierung!$B$5</f>
        <v>3200.0000000000005</v>
      </c>
      <c r="C189" s="19">
        <f t="shared" si="24"/>
        <v>543686.77645127138</v>
      </c>
      <c r="D189" s="19">
        <f>C189*Finanzierung!$B$3/100/12</f>
        <v>1449.8314038700571</v>
      </c>
      <c r="E189" s="19">
        <f t="shared" si="23"/>
        <v>1750.1685961299434</v>
      </c>
      <c r="J189">
        <v>186</v>
      </c>
      <c r="K189" s="19">
        <f t="shared" si="20"/>
        <v>2240</v>
      </c>
      <c r="L189" s="19">
        <f t="shared" si="21"/>
        <v>774357.766369591</v>
      </c>
      <c r="M189" s="19">
        <f>L189*Finanzierung!$B$3/100/12</f>
        <v>2064.9540436522425</v>
      </c>
      <c r="N189" s="19">
        <f t="shared" si="22"/>
        <v>175.04595634775751</v>
      </c>
      <c r="O189">
        <f>O188*(1+Finanzierung!$B$6/100/12)+$H$3</f>
        <v>293499.41999760765</v>
      </c>
      <c r="S189" s="22">
        <f t="shared" si="17"/>
        <v>15.5</v>
      </c>
      <c r="T189" s="19">
        <f t="shared" si="18"/>
        <v>-543686.77645127138</v>
      </c>
      <c r="U189" s="19">
        <f t="shared" si="19"/>
        <v>-480858.34637198335</v>
      </c>
    </row>
    <row r="190" spans="1:21" x14ac:dyDescent="0.2">
      <c r="A190">
        <v>187</v>
      </c>
      <c r="B190" s="19">
        <f>Finanzierung!$B$5</f>
        <v>3200.0000000000005</v>
      </c>
      <c r="C190" s="19">
        <f t="shared" si="24"/>
        <v>541936.6078551414</v>
      </c>
      <c r="D190" s="19">
        <f>C190*Finanzierung!$B$3/100/12</f>
        <v>1445.1642876137105</v>
      </c>
      <c r="E190" s="19">
        <f t="shared" si="23"/>
        <v>1754.83571238629</v>
      </c>
      <c r="J190">
        <v>187</v>
      </c>
      <c r="K190" s="19">
        <f t="shared" si="20"/>
        <v>2240</v>
      </c>
      <c r="L190" s="19">
        <f t="shared" si="21"/>
        <v>774182.72041324328</v>
      </c>
      <c r="M190" s="19">
        <f>L190*Finanzierung!$B$3/100/12</f>
        <v>2064.4872544353157</v>
      </c>
      <c r="N190" s="19">
        <f t="shared" si="22"/>
        <v>175.51274556468434</v>
      </c>
      <c r="O190">
        <f>O189*(1+Finanzierung!$B$6/100/12)+$H$3</f>
        <v>295926.91709759564</v>
      </c>
      <c r="S190" s="22">
        <f t="shared" si="17"/>
        <v>15.583333333333334</v>
      </c>
      <c r="T190" s="19">
        <f t="shared" si="18"/>
        <v>-541936.6078551414</v>
      </c>
      <c r="U190" s="19">
        <f t="shared" si="19"/>
        <v>-478255.80331564764</v>
      </c>
    </row>
    <row r="191" spans="1:21" x14ac:dyDescent="0.2">
      <c r="A191">
        <v>188</v>
      </c>
      <c r="B191" s="19">
        <f>Finanzierung!$B$5</f>
        <v>3200.0000000000005</v>
      </c>
      <c r="C191" s="19">
        <f t="shared" si="24"/>
        <v>540181.7721427551</v>
      </c>
      <c r="D191" s="19">
        <f>C191*Finanzierung!$B$3/100/12</f>
        <v>1440.4847257140136</v>
      </c>
      <c r="E191" s="19">
        <f t="shared" si="23"/>
        <v>1759.5152742859868</v>
      </c>
      <c r="J191">
        <v>188</v>
      </c>
      <c r="K191" s="19">
        <f t="shared" si="20"/>
        <v>2240</v>
      </c>
      <c r="L191" s="19">
        <f t="shared" si="21"/>
        <v>774007.20766767859</v>
      </c>
      <c r="M191" s="19">
        <f>L191*Finanzierung!$B$3/100/12</f>
        <v>2064.0192204471427</v>
      </c>
      <c r="N191" s="19">
        <f t="shared" si="22"/>
        <v>175.98077955285726</v>
      </c>
      <c r="O191">
        <f>O190*(1+Finanzierung!$B$6/100/12)+$H$3</f>
        <v>298366.55168308358</v>
      </c>
      <c r="S191" s="22">
        <f t="shared" si="17"/>
        <v>15.666666666666666</v>
      </c>
      <c r="T191" s="19">
        <f t="shared" si="18"/>
        <v>-540181.7721427551</v>
      </c>
      <c r="U191" s="19">
        <f t="shared" si="19"/>
        <v>-475640.65598459501</v>
      </c>
    </row>
    <row r="192" spans="1:21" x14ac:dyDescent="0.2">
      <c r="A192">
        <v>189</v>
      </c>
      <c r="B192" s="19">
        <f>Finanzierung!$B$5</f>
        <v>3200.0000000000005</v>
      </c>
      <c r="C192" s="19">
        <f t="shared" si="24"/>
        <v>538422.25686846906</v>
      </c>
      <c r="D192" s="19">
        <f>C192*Finanzierung!$B$3/100/12</f>
        <v>1435.7926849825844</v>
      </c>
      <c r="E192" s="19">
        <f t="shared" si="23"/>
        <v>1764.207315017416</v>
      </c>
      <c r="J192">
        <v>189</v>
      </c>
      <c r="K192" s="19">
        <f t="shared" si="20"/>
        <v>2240</v>
      </c>
      <c r="L192" s="19">
        <f t="shared" si="21"/>
        <v>773831.22688812576</v>
      </c>
      <c r="M192" s="19">
        <f>L192*Finanzierung!$B$3/100/12</f>
        <v>2063.5499383683355</v>
      </c>
      <c r="N192" s="19">
        <f t="shared" si="22"/>
        <v>176.45006163166454</v>
      </c>
      <c r="O192">
        <f>O191*(1+Finanzierung!$B$6/100/12)+$H$3</f>
        <v>300818.38444149896</v>
      </c>
      <c r="S192" s="22">
        <f t="shared" si="17"/>
        <v>15.75</v>
      </c>
      <c r="T192" s="19">
        <f t="shared" si="18"/>
        <v>-538422.25686846906</v>
      </c>
      <c r="U192" s="19">
        <f t="shared" si="19"/>
        <v>-473012.8424466268</v>
      </c>
    </row>
    <row r="193" spans="1:21" x14ac:dyDescent="0.2">
      <c r="A193">
        <v>190</v>
      </c>
      <c r="B193" s="19">
        <f>Finanzierung!$B$5</f>
        <v>3200.0000000000005</v>
      </c>
      <c r="C193" s="19">
        <f t="shared" si="24"/>
        <v>536658.04955345159</v>
      </c>
      <c r="D193" s="19">
        <f>C193*Finanzierung!$B$3/100/12</f>
        <v>1431.0881321425377</v>
      </c>
      <c r="E193" s="19">
        <f t="shared" si="23"/>
        <v>1768.9118678574628</v>
      </c>
      <c r="J193">
        <v>190</v>
      </c>
      <c r="K193" s="19">
        <f t="shared" si="20"/>
        <v>2240</v>
      </c>
      <c r="L193" s="19">
        <f t="shared" si="21"/>
        <v>773654.77682649414</v>
      </c>
      <c r="M193" s="19">
        <f>L193*Finanzierung!$B$3/100/12</f>
        <v>2063.0794048706512</v>
      </c>
      <c r="N193" s="19">
        <f t="shared" si="22"/>
        <v>176.92059512934884</v>
      </c>
      <c r="O193">
        <f>O192*(1+Finanzierung!$B$6/100/12)+$H$3</f>
        <v>303282.4763637064</v>
      </c>
      <c r="S193" s="22">
        <f t="shared" si="17"/>
        <v>15.833333333333334</v>
      </c>
      <c r="T193" s="19">
        <f t="shared" si="18"/>
        <v>-536658.04955345159</v>
      </c>
      <c r="U193" s="19">
        <f t="shared" si="19"/>
        <v>-470372.30046278774</v>
      </c>
    </row>
    <row r="194" spans="1:21" x14ac:dyDescent="0.2">
      <c r="A194">
        <v>191</v>
      </c>
      <c r="B194" s="19">
        <f>Finanzierung!$B$5</f>
        <v>3200.0000000000005</v>
      </c>
      <c r="C194" s="19">
        <f t="shared" si="24"/>
        <v>534889.13768559415</v>
      </c>
      <c r="D194" s="19">
        <f>C194*Finanzierung!$B$3/100/12</f>
        <v>1426.371033828251</v>
      </c>
      <c r="E194" s="19">
        <f t="shared" si="23"/>
        <v>1773.6289661717494</v>
      </c>
      <c r="J194">
        <v>191</v>
      </c>
      <c r="K194" s="19">
        <f t="shared" si="20"/>
        <v>2240</v>
      </c>
      <c r="L194" s="19">
        <f t="shared" si="21"/>
        <v>773477.85623136477</v>
      </c>
      <c r="M194" s="19">
        <f>L194*Finanzierung!$B$3/100/12</f>
        <v>2062.6076166169728</v>
      </c>
      <c r="N194" s="19">
        <f t="shared" si="22"/>
        <v>177.39238338302721</v>
      </c>
      <c r="O194">
        <f>O193*(1+Finanzierung!$B$6/100/12)+$H$3</f>
        <v>305758.88874552492</v>
      </c>
      <c r="S194" s="22">
        <f t="shared" si="17"/>
        <v>15.916666666666666</v>
      </c>
      <c r="T194" s="19">
        <f t="shared" si="18"/>
        <v>-534889.13768559415</v>
      </c>
      <c r="U194" s="19">
        <f t="shared" si="19"/>
        <v>-467718.96748583985</v>
      </c>
    </row>
    <row r="195" spans="1:21" x14ac:dyDescent="0.2">
      <c r="A195">
        <v>192</v>
      </c>
      <c r="B195" s="19">
        <f>Finanzierung!$B$5</f>
        <v>3200.0000000000005</v>
      </c>
      <c r="C195" s="19">
        <f t="shared" si="24"/>
        <v>533115.50871942239</v>
      </c>
      <c r="D195" s="19">
        <f>C195*Finanzierung!$B$3/100/12</f>
        <v>1421.6413565851265</v>
      </c>
      <c r="E195" s="19">
        <f t="shared" si="23"/>
        <v>1778.358643414874</v>
      </c>
      <c r="J195">
        <v>192</v>
      </c>
      <c r="K195" s="19">
        <f t="shared" si="20"/>
        <v>2240</v>
      </c>
      <c r="L195" s="19">
        <f t="shared" si="21"/>
        <v>773300.46384798177</v>
      </c>
      <c r="M195" s="19">
        <f>L195*Finanzierung!$B$3/100/12</f>
        <v>2062.1345702612848</v>
      </c>
      <c r="N195" s="19">
        <f t="shared" si="22"/>
        <v>177.86542973871519</v>
      </c>
      <c r="O195">
        <f>O194*(1+Finanzierung!$B$6/100/12)+$H$3</f>
        <v>308247.68318925251</v>
      </c>
      <c r="S195" s="22">
        <f t="shared" si="17"/>
        <v>16</v>
      </c>
      <c r="T195" s="19">
        <f t="shared" si="18"/>
        <v>-533115.50871942239</v>
      </c>
      <c r="U195" s="19">
        <f t="shared" si="19"/>
        <v>-465052.78065872926</v>
      </c>
    </row>
    <row r="196" spans="1:21" x14ac:dyDescent="0.2">
      <c r="A196">
        <v>193</v>
      </c>
      <c r="B196" s="19">
        <f>Finanzierung!$B$5</f>
        <v>3200.0000000000005</v>
      </c>
      <c r="C196" s="19">
        <f t="shared" si="24"/>
        <v>531337.15007600747</v>
      </c>
      <c r="D196" s="19">
        <f>C196*Finanzierung!$B$3/100/12</f>
        <v>1416.8990668693534</v>
      </c>
      <c r="E196" s="19">
        <f t="shared" si="23"/>
        <v>1783.100933130647</v>
      </c>
      <c r="J196">
        <v>193</v>
      </c>
      <c r="K196" s="19">
        <f t="shared" si="20"/>
        <v>2240</v>
      </c>
      <c r="L196" s="19">
        <f t="shared" si="21"/>
        <v>773122.598418243</v>
      </c>
      <c r="M196" s="19">
        <f>L196*Finanzierung!$B$3/100/12</f>
        <v>2061.6602624486482</v>
      </c>
      <c r="N196" s="19">
        <f t="shared" si="22"/>
        <v>178.33973755135185</v>
      </c>
      <c r="O196">
        <f>O195*(1+Finanzierung!$B$6/100/12)+$H$3</f>
        <v>310748.92160519876</v>
      </c>
      <c r="S196" s="22">
        <f t="shared" ref="S196:S259" si="25">J196/12</f>
        <v>16.083333333333332</v>
      </c>
      <c r="T196" s="19">
        <f t="shared" ref="T196:T259" si="26">-C196</f>
        <v>-531337.15007600747</v>
      </c>
      <c r="U196" s="19">
        <f t="shared" ref="U196:U259" si="27">O196-L196</f>
        <v>-462373.67681304424</v>
      </c>
    </row>
    <row r="197" spans="1:21" x14ac:dyDescent="0.2">
      <c r="A197">
        <v>194</v>
      </c>
      <c r="B197" s="19">
        <f>Finanzierung!$B$5</f>
        <v>3200.0000000000005</v>
      </c>
      <c r="C197" s="19">
        <f t="shared" si="24"/>
        <v>529554.04914287687</v>
      </c>
      <c r="D197" s="19">
        <f>C197*Finanzierung!$B$3/100/12</f>
        <v>1412.1441310476719</v>
      </c>
      <c r="E197" s="19">
        <f t="shared" si="23"/>
        <v>1787.8558689523286</v>
      </c>
      <c r="J197">
        <v>194</v>
      </c>
      <c r="K197" s="19">
        <f t="shared" ref="K197:K260" si="28">$H$1</f>
        <v>2240</v>
      </c>
      <c r="L197" s="19">
        <f t="shared" ref="L197:L260" si="29">L196-N196</f>
        <v>772944.25868069159</v>
      </c>
      <c r="M197" s="19">
        <f>L197*Finanzierung!$B$3/100/12</f>
        <v>2061.1846898151775</v>
      </c>
      <c r="N197" s="19">
        <f t="shared" ref="N197:N260" si="30">K197-M197</f>
        <v>178.81531018482247</v>
      </c>
      <c r="O197">
        <f>O196*(1+Finanzierung!$B$6/100/12)+$H$3</f>
        <v>313262.6662132247</v>
      </c>
      <c r="S197" s="22">
        <f t="shared" si="25"/>
        <v>16.166666666666668</v>
      </c>
      <c r="T197" s="19">
        <f t="shared" si="26"/>
        <v>-529554.04914287687</v>
      </c>
      <c r="U197" s="19">
        <f t="shared" si="27"/>
        <v>-459681.59246746689</v>
      </c>
    </row>
    <row r="198" spans="1:21" x14ac:dyDescent="0.2">
      <c r="A198">
        <v>195</v>
      </c>
      <c r="B198" s="19">
        <f>Finanzierung!$B$5</f>
        <v>3200.0000000000005</v>
      </c>
      <c r="C198" s="19">
        <f t="shared" si="24"/>
        <v>527766.19327392452</v>
      </c>
      <c r="D198" s="19">
        <f>C198*Finanzierung!$B$3/100/12</f>
        <v>1407.3765153971324</v>
      </c>
      <c r="E198" s="19">
        <f t="shared" ref="E198:E261" si="31">B198-D198</f>
        <v>1792.6234846028681</v>
      </c>
      <c r="J198">
        <v>195</v>
      </c>
      <c r="K198" s="19">
        <f t="shared" si="28"/>
        <v>2240</v>
      </c>
      <c r="L198" s="19">
        <f t="shared" si="29"/>
        <v>772765.44337050675</v>
      </c>
      <c r="M198" s="19">
        <f>L198*Finanzierung!$B$3/100/12</f>
        <v>2060.7078489880182</v>
      </c>
      <c r="N198" s="19">
        <f t="shared" si="30"/>
        <v>179.29215101198179</v>
      </c>
      <c r="O198">
        <f>O197*(1+Finanzierung!$B$6/100/12)+$H$3</f>
        <v>315788.97954429081</v>
      </c>
      <c r="S198" s="22">
        <f t="shared" si="25"/>
        <v>16.25</v>
      </c>
      <c r="T198" s="19">
        <f t="shared" si="26"/>
        <v>-527766.19327392452</v>
      </c>
      <c r="U198" s="19">
        <f t="shared" si="27"/>
        <v>-456976.46382621594</v>
      </c>
    </row>
    <row r="199" spans="1:21" x14ac:dyDescent="0.2">
      <c r="A199">
        <v>196</v>
      </c>
      <c r="B199" s="19">
        <f>Finanzierung!$B$5</f>
        <v>3200.0000000000005</v>
      </c>
      <c r="C199" s="19">
        <f t="shared" si="24"/>
        <v>525973.56978932163</v>
      </c>
      <c r="D199" s="19">
        <f>C199*Finanzierung!$B$3/100/12</f>
        <v>1402.5961861048575</v>
      </c>
      <c r="E199" s="19">
        <f t="shared" si="31"/>
        <v>1797.403813895143</v>
      </c>
      <c r="J199">
        <v>196</v>
      </c>
      <c r="K199" s="19">
        <f t="shared" si="28"/>
        <v>2240</v>
      </c>
      <c r="L199" s="19">
        <f t="shared" si="29"/>
        <v>772586.15121949476</v>
      </c>
      <c r="M199" s="19">
        <f>L199*Finanzierung!$B$3/100/12</f>
        <v>2060.2297365853196</v>
      </c>
      <c r="N199" s="19">
        <f t="shared" si="30"/>
        <v>179.77026341468036</v>
      </c>
      <c r="O199">
        <f>O198*(1+Finanzierung!$B$6/100/12)+$H$3</f>
        <v>318327.92444201221</v>
      </c>
      <c r="S199" s="22">
        <f t="shared" si="25"/>
        <v>16.333333333333332</v>
      </c>
      <c r="T199" s="19">
        <f t="shared" si="26"/>
        <v>-525973.56978932163</v>
      </c>
      <c r="U199" s="19">
        <f t="shared" si="27"/>
        <v>-454258.22677748255</v>
      </c>
    </row>
    <row r="200" spans="1:21" x14ac:dyDescent="0.2">
      <c r="A200">
        <v>197</v>
      </c>
      <c r="B200" s="19">
        <f>Finanzierung!$B$5</f>
        <v>3200.0000000000005</v>
      </c>
      <c r="C200" s="19">
        <f t="shared" si="24"/>
        <v>524176.1659754265</v>
      </c>
      <c r="D200" s="19">
        <f>C200*Finanzierung!$B$3/100/12</f>
        <v>1397.8031092678041</v>
      </c>
      <c r="E200" s="19">
        <f t="shared" si="31"/>
        <v>1802.1968907321964</v>
      </c>
      <c r="J200">
        <v>197</v>
      </c>
      <c r="K200" s="19">
        <f t="shared" si="28"/>
        <v>2240</v>
      </c>
      <c r="L200" s="19">
        <f t="shared" si="29"/>
        <v>772406.38095608004</v>
      </c>
      <c r="M200" s="19">
        <f>L200*Finanzierung!$B$3/100/12</f>
        <v>2059.7503492162136</v>
      </c>
      <c r="N200" s="19">
        <f t="shared" si="30"/>
        <v>180.24965078378636</v>
      </c>
      <c r="O200">
        <f>O199*(1+Finanzierung!$B$6/100/12)+$H$3</f>
        <v>320879.56406422221</v>
      </c>
      <c r="S200" s="22">
        <f t="shared" si="25"/>
        <v>16.416666666666668</v>
      </c>
      <c r="T200" s="19">
        <f t="shared" si="26"/>
        <v>-524176.1659754265</v>
      </c>
      <c r="U200" s="19">
        <f t="shared" si="27"/>
        <v>-451526.81689185783</v>
      </c>
    </row>
    <row r="201" spans="1:21" x14ac:dyDescent="0.2">
      <c r="A201">
        <v>198</v>
      </c>
      <c r="B201" s="19">
        <f>Finanzierung!$B$5</f>
        <v>3200.0000000000005</v>
      </c>
      <c r="C201" s="19">
        <f t="shared" si="24"/>
        <v>522373.96908469428</v>
      </c>
      <c r="D201" s="19">
        <f>C201*Finanzierung!$B$3/100/12</f>
        <v>1392.9972508925182</v>
      </c>
      <c r="E201" s="19">
        <f t="shared" si="31"/>
        <v>1807.0027491074823</v>
      </c>
      <c r="J201">
        <v>198</v>
      </c>
      <c r="K201" s="19">
        <f t="shared" si="28"/>
        <v>2240</v>
      </c>
      <c r="L201" s="19">
        <f t="shared" si="29"/>
        <v>772226.13130529621</v>
      </c>
      <c r="M201" s="19">
        <f>L201*Finanzierung!$B$3/100/12</f>
        <v>2059.2696834807903</v>
      </c>
      <c r="N201" s="19">
        <f t="shared" si="30"/>
        <v>180.73031651920974</v>
      </c>
      <c r="O201">
        <f>O200*(1+Finanzierung!$B$6/100/12)+$H$3</f>
        <v>323443.9618845433</v>
      </c>
      <c r="S201" s="22">
        <f t="shared" si="25"/>
        <v>16.5</v>
      </c>
      <c r="T201" s="19">
        <f t="shared" si="26"/>
        <v>-522373.96908469428</v>
      </c>
      <c r="U201" s="19">
        <f t="shared" si="27"/>
        <v>-448782.16942075291</v>
      </c>
    </row>
    <row r="202" spans="1:21" x14ac:dyDescent="0.2">
      <c r="A202">
        <v>199</v>
      </c>
      <c r="B202" s="19">
        <f>Finanzierung!$B$5</f>
        <v>3200.0000000000005</v>
      </c>
      <c r="C202" s="19">
        <f t="shared" si="24"/>
        <v>520566.9663355868</v>
      </c>
      <c r="D202" s="19">
        <f>C202*Finanzierung!$B$3/100/12</f>
        <v>1388.1785768948982</v>
      </c>
      <c r="E202" s="19">
        <f t="shared" si="31"/>
        <v>1811.8214231051022</v>
      </c>
      <c r="J202">
        <v>199</v>
      </c>
      <c r="K202" s="19">
        <f t="shared" si="28"/>
        <v>2240</v>
      </c>
      <c r="L202" s="19">
        <f t="shared" si="29"/>
        <v>772045.40098877705</v>
      </c>
      <c r="M202" s="19">
        <f>L202*Finanzierung!$B$3/100/12</f>
        <v>2058.7877359700724</v>
      </c>
      <c r="N202" s="19">
        <f t="shared" si="30"/>
        <v>181.21226402992761</v>
      </c>
      <c r="O202">
        <f>O201*(1+Finanzierung!$B$6/100/12)+$H$3</f>
        <v>326021.18169396598</v>
      </c>
      <c r="S202" s="22">
        <f t="shared" si="25"/>
        <v>16.583333333333332</v>
      </c>
      <c r="T202" s="19">
        <f t="shared" si="26"/>
        <v>-520566.9663355868</v>
      </c>
      <c r="U202" s="19">
        <f t="shared" si="27"/>
        <v>-446024.21929481108</v>
      </c>
    </row>
    <row r="203" spans="1:21" x14ac:dyDescent="0.2">
      <c r="A203">
        <v>200</v>
      </c>
      <c r="B203" s="19">
        <f>Finanzierung!$B$5</f>
        <v>3200.0000000000005</v>
      </c>
      <c r="C203" s="19">
        <f t="shared" si="24"/>
        <v>518755.14491248172</v>
      </c>
      <c r="D203" s="19">
        <f>C203*Finanzierung!$B$3/100/12</f>
        <v>1383.3470530999514</v>
      </c>
      <c r="E203" s="19">
        <f t="shared" si="31"/>
        <v>1816.6529469000491</v>
      </c>
      <c r="J203">
        <v>200</v>
      </c>
      <c r="K203" s="19">
        <f t="shared" si="28"/>
        <v>2240</v>
      </c>
      <c r="L203" s="19">
        <f t="shared" si="29"/>
        <v>771864.18872474716</v>
      </c>
      <c r="M203" s="19">
        <f>L203*Finanzierung!$B$3/100/12</f>
        <v>2058.3045032659925</v>
      </c>
      <c r="N203" s="19">
        <f t="shared" si="30"/>
        <v>181.69549673400752</v>
      </c>
      <c r="O203">
        <f>O202*(1+Finanzierung!$B$6/100/12)+$H$3</f>
        <v>328611.2876024358</v>
      </c>
      <c r="S203" s="22">
        <f t="shared" si="25"/>
        <v>16.666666666666668</v>
      </c>
      <c r="T203" s="19">
        <f t="shared" si="26"/>
        <v>-518755.14491248172</v>
      </c>
      <c r="U203" s="19">
        <f t="shared" si="27"/>
        <v>-443252.90112231136</v>
      </c>
    </row>
    <row r="204" spans="1:21" x14ac:dyDescent="0.2">
      <c r="A204">
        <v>201</v>
      </c>
      <c r="B204" s="19">
        <f>Finanzierung!$B$5</f>
        <v>3200.0000000000005</v>
      </c>
      <c r="C204" s="19">
        <f t="shared" si="24"/>
        <v>516938.49196558166</v>
      </c>
      <c r="D204" s="19">
        <f>C204*Finanzierung!$B$3/100/12</f>
        <v>1378.5026452415514</v>
      </c>
      <c r="E204" s="19">
        <f t="shared" si="31"/>
        <v>1821.4973547584491</v>
      </c>
      <c r="J204">
        <v>201</v>
      </c>
      <c r="K204" s="19">
        <f t="shared" si="28"/>
        <v>2240</v>
      </c>
      <c r="L204" s="19">
        <f t="shared" si="29"/>
        <v>771682.49322801316</v>
      </c>
      <c r="M204" s="19">
        <f>L204*Finanzierung!$B$3/100/12</f>
        <v>2057.8199819413685</v>
      </c>
      <c r="N204" s="19">
        <f t="shared" si="30"/>
        <v>182.1800180586315</v>
      </c>
      <c r="O204">
        <f>O203*(1+Finanzierung!$B$6/100/12)+$H$3</f>
        <v>331214.34404044796</v>
      </c>
      <c r="S204" s="22">
        <f t="shared" si="25"/>
        <v>16.75</v>
      </c>
      <c r="T204" s="19">
        <f t="shared" si="26"/>
        <v>-516938.49196558166</v>
      </c>
      <c r="U204" s="19">
        <f t="shared" si="27"/>
        <v>-440468.1491875652</v>
      </c>
    </row>
    <row r="205" spans="1:21" x14ac:dyDescent="0.2">
      <c r="A205">
        <v>202</v>
      </c>
      <c r="B205" s="19">
        <f>Finanzierung!$B$5</f>
        <v>3200.0000000000005</v>
      </c>
      <c r="C205" s="19">
        <f t="shared" si="24"/>
        <v>515116.99461082323</v>
      </c>
      <c r="D205" s="19">
        <f>C205*Finanzierung!$B$3/100/12</f>
        <v>1373.6453189621952</v>
      </c>
      <c r="E205" s="19">
        <f t="shared" si="31"/>
        <v>1826.3546810378052</v>
      </c>
      <c r="J205">
        <v>202</v>
      </c>
      <c r="K205" s="19">
        <f t="shared" si="28"/>
        <v>2240</v>
      </c>
      <c r="L205" s="19">
        <f t="shared" si="29"/>
        <v>771500.31320995453</v>
      </c>
      <c r="M205" s="19">
        <f>L205*Finanzierung!$B$3/100/12</f>
        <v>2057.3341685598789</v>
      </c>
      <c r="N205" s="19">
        <f t="shared" si="30"/>
        <v>182.66583144012111</v>
      </c>
      <c r="O205">
        <f>O204*(1+Finanzierung!$B$6/100/12)+$H$3</f>
        <v>333830.41576065018</v>
      </c>
      <c r="S205" s="22">
        <f t="shared" si="25"/>
        <v>16.833333333333332</v>
      </c>
      <c r="T205" s="19">
        <f t="shared" si="26"/>
        <v>-515116.99461082323</v>
      </c>
      <c r="U205" s="19">
        <f t="shared" si="27"/>
        <v>-437669.89744930435</v>
      </c>
    </row>
    <row r="206" spans="1:21" x14ac:dyDescent="0.2">
      <c r="A206">
        <v>203</v>
      </c>
      <c r="B206" s="19">
        <f>Finanzierung!$B$5</f>
        <v>3200.0000000000005</v>
      </c>
      <c r="C206" s="19">
        <f t="shared" si="24"/>
        <v>513290.63992978539</v>
      </c>
      <c r="D206" s="19">
        <f>C206*Finanzierung!$B$3/100/12</f>
        <v>1368.775039812761</v>
      </c>
      <c r="E206" s="19">
        <f t="shared" si="31"/>
        <v>1831.2249601872395</v>
      </c>
      <c r="J206">
        <v>203</v>
      </c>
      <c r="K206" s="19">
        <f t="shared" si="28"/>
        <v>2240</v>
      </c>
      <c r="L206" s="19">
        <f t="shared" si="29"/>
        <v>771317.6473785144</v>
      </c>
      <c r="M206" s="19">
        <f>L206*Finanzierung!$B$3/100/12</f>
        <v>2056.8470596760385</v>
      </c>
      <c r="N206" s="19">
        <f t="shared" si="30"/>
        <v>183.1529403239615</v>
      </c>
      <c r="O206">
        <f>O205*(1+Finanzierung!$B$6/100/12)+$H$3</f>
        <v>336459.5678394534</v>
      </c>
      <c r="S206" s="22">
        <f t="shared" si="25"/>
        <v>16.916666666666668</v>
      </c>
      <c r="T206" s="19">
        <f t="shared" si="26"/>
        <v>-513290.63992978539</v>
      </c>
      <c r="U206" s="19">
        <f t="shared" si="27"/>
        <v>-434858.079539061</v>
      </c>
    </row>
    <row r="207" spans="1:21" x14ac:dyDescent="0.2">
      <c r="A207">
        <v>204</v>
      </c>
      <c r="B207" s="19">
        <f>Finanzierung!$B$5</f>
        <v>3200.0000000000005</v>
      </c>
      <c r="C207" s="19">
        <f t="shared" si="24"/>
        <v>511459.41496959818</v>
      </c>
      <c r="D207" s="19">
        <f>C207*Finanzierung!$B$3/100/12</f>
        <v>1363.8917732522621</v>
      </c>
      <c r="E207" s="19">
        <f t="shared" si="31"/>
        <v>1836.1082267477384</v>
      </c>
      <c r="J207">
        <v>204</v>
      </c>
      <c r="K207" s="19">
        <f t="shared" si="28"/>
        <v>2240</v>
      </c>
      <c r="L207" s="19">
        <f t="shared" si="29"/>
        <v>771134.49443819048</v>
      </c>
      <c r="M207" s="19">
        <f>L207*Finanzierung!$B$3/100/12</f>
        <v>2056.3586518351744</v>
      </c>
      <c r="N207" s="19">
        <f t="shared" si="30"/>
        <v>183.64134816482556</v>
      </c>
      <c r="O207">
        <f>O206*(1+Finanzierung!$B$6/100/12)+$H$3</f>
        <v>339101.86567865062</v>
      </c>
      <c r="S207" s="22">
        <f t="shared" si="25"/>
        <v>17</v>
      </c>
      <c r="T207" s="19">
        <f t="shared" si="26"/>
        <v>-511459.41496959818</v>
      </c>
      <c r="U207" s="19">
        <f t="shared" si="27"/>
        <v>-432032.62875953986</v>
      </c>
    </row>
    <row r="208" spans="1:21" x14ac:dyDescent="0.2">
      <c r="A208">
        <v>205</v>
      </c>
      <c r="B208" s="19">
        <f>Finanzierung!$B$5</f>
        <v>3200.0000000000005</v>
      </c>
      <c r="C208" s="19">
        <f t="shared" si="24"/>
        <v>509623.30674285046</v>
      </c>
      <c r="D208" s="19">
        <f>C208*Finanzierung!$B$3/100/12</f>
        <v>1358.9954846476012</v>
      </c>
      <c r="E208" s="19">
        <f t="shared" si="31"/>
        <v>1841.0045153523993</v>
      </c>
      <c r="J208">
        <v>205</v>
      </c>
      <c r="K208" s="19">
        <f t="shared" si="28"/>
        <v>2240</v>
      </c>
      <c r="L208" s="19">
        <f t="shared" si="29"/>
        <v>770950.8530900256</v>
      </c>
      <c r="M208" s="19">
        <f>L208*Finanzierung!$B$3/100/12</f>
        <v>2055.8689415734016</v>
      </c>
      <c r="N208" s="19">
        <f t="shared" si="30"/>
        <v>184.13105842659843</v>
      </c>
      <c r="O208">
        <f>O207*(1+Finanzierung!$B$6/100/12)+$H$3</f>
        <v>341757.37500704383</v>
      </c>
      <c r="S208" s="22">
        <f t="shared" si="25"/>
        <v>17.083333333333332</v>
      </c>
      <c r="T208" s="19">
        <f t="shared" si="26"/>
        <v>-509623.30674285046</v>
      </c>
      <c r="U208" s="19">
        <f t="shared" si="27"/>
        <v>-429193.47808298178</v>
      </c>
    </row>
    <row r="209" spans="1:21" x14ac:dyDescent="0.2">
      <c r="A209">
        <v>206</v>
      </c>
      <c r="B209" s="19">
        <f>Finanzierung!$B$5</f>
        <v>3200.0000000000005</v>
      </c>
      <c r="C209" s="19">
        <f t="shared" si="24"/>
        <v>507782.30222749803</v>
      </c>
      <c r="D209" s="19">
        <f>C209*Finanzierung!$B$3/100/12</f>
        <v>1354.0861392733282</v>
      </c>
      <c r="E209" s="19">
        <f t="shared" si="31"/>
        <v>1845.9138607266723</v>
      </c>
      <c r="J209">
        <v>206</v>
      </c>
      <c r="K209" s="19">
        <f t="shared" si="28"/>
        <v>2240</v>
      </c>
      <c r="L209" s="19">
        <f t="shared" si="29"/>
        <v>770766.72203159903</v>
      </c>
      <c r="M209" s="19">
        <f>L209*Finanzierung!$B$3/100/12</f>
        <v>2055.3779254175975</v>
      </c>
      <c r="N209" s="19">
        <f t="shared" si="30"/>
        <v>184.62207458240255</v>
      </c>
      <c r="O209">
        <f>O208*(1+Finanzierung!$B$6/100/12)+$H$3</f>
        <v>344426.16188207903</v>
      </c>
      <c r="S209" s="22">
        <f t="shared" si="25"/>
        <v>17.166666666666668</v>
      </c>
      <c r="T209" s="19">
        <f t="shared" si="26"/>
        <v>-507782.30222749803</v>
      </c>
      <c r="U209" s="19">
        <f t="shared" si="27"/>
        <v>-426340.56014952</v>
      </c>
    </row>
    <row r="210" spans="1:21" x14ac:dyDescent="0.2">
      <c r="A210">
        <v>207</v>
      </c>
      <c r="B210" s="19">
        <f>Finanzierung!$B$5</f>
        <v>3200.0000000000005</v>
      </c>
      <c r="C210" s="19">
        <f t="shared" si="24"/>
        <v>505936.38836677134</v>
      </c>
      <c r="D210" s="19">
        <f>C210*Finanzierung!$B$3/100/12</f>
        <v>1349.1637023113901</v>
      </c>
      <c r="E210" s="19">
        <f t="shared" si="31"/>
        <v>1850.8362976886103</v>
      </c>
      <c r="J210">
        <v>207</v>
      </c>
      <c r="K210" s="19">
        <f t="shared" si="28"/>
        <v>2240</v>
      </c>
      <c r="L210" s="19">
        <f t="shared" si="29"/>
        <v>770582.09995701665</v>
      </c>
      <c r="M210" s="19">
        <f>L210*Finanzierung!$B$3/100/12</f>
        <v>2054.8855998853774</v>
      </c>
      <c r="N210" s="19">
        <f t="shared" si="30"/>
        <v>185.11440011462264</v>
      </c>
      <c r="O210">
        <f>O209*(1+Finanzierung!$B$6/100/12)+$H$3</f>
        <v>347108.29269148939</v>
      </c>
      <c r="S210" s="22">
        <f t="shared" si="25"/>
        <v>17.25</v>
      </c>
      <c r="T210" s="19">
        <f t="shared" si="26"/>
        <v>-505936.38836677134</v>
      </c>
      <c r="U210" s="19">
        <f t="shared" si="27"/>
        <v>-423473.80726552726</v>
      </c>
    </row>
    <row r="211" spans="1:21" x14ac:dyDescent="0.2">
      <c r="A211">
        <v>208</v>
      </c>
      <c r="B211" s="19">
        <f>Finanzierung!$B$5</f>
        <v>3200.0000000000005</v>
      </c>
      <c r="C211" s="19">
        <f t="shared" si="24"/>
        <v>504085.55206908274</v>
      </c>
      <c r="D211" s="19">
        <f>C211*Finanzierung!$B$3/100/12</f>
        <v>1344.2281388508875</v>
      </c>
      <c r="E211" s="19">
        <f t="shared" si="31"/>
        <v>1855.771861149113</v>
      </c>
      <c r="J211">
        <v>208</v>
      </c>
      <c r="K211" s="19">
        <f t="shared" si="28"/>
        <v>2240</v>
      </c>
      <c r="L211" s="19">
        <f t="shared" si="29"/>
        <v>770396.98555690201</v>
      </c>
      <c r="M211" s="19">
        <f>L211*Finanzierung!$B$3/100/12</f>
        <v>2054.3919614850724</v>
      </c>
      <c r="N211" s="19">
        <f t="shared" si="30"/>
        <v>185.60803851492756</v>
      </c>
      <c r="O211">
        <f>O210*(1+Finanzierung!$B$6/100/12)+$H$3</f>
        <v>349803.83415494679</v>
      </c>
      <c r="S211" s="22">
        <f t="shared" si="25"/>
        <v>17.333333333333332</v>
      </c>
      <c r="T211" s="19">
        <f t="shared" si="26"/>
        <v>-504085.55206908274</v>
      </c>
      <c r="U211" s="19">
        <f t="shared" si="27"/>
        <v>-420593.15140195523</v>
      </c>
    </row>
    <row r="212" spans="1:21" x14ac:dyDescent="0.2">
      <c r="A212">
        <v>209</v>
      </c>
      <c r="B212" s="19">
        <f>Finanzierung!$B$5</f>
        <v>3200.0000000000005</v>
      </c>
      <c r="C212" s="19">
        <f t="shared" si="24"/>
        <v>502229.78020793363</v>
      </c>
      <c r="D212" s="19">
        <f>C212*Finanzierung!$B$3/100/12</f>
        <v>1339.279413887823</v>
      </c>
      <c r="E212" s="19">
        <f t="shared" si="31"/>
        <v>1860.7205861121774</v>
      </c>
      <c r="J212">
        <v>209</v>
      </c>
      <c r="K212" s="19">
        <f t="shared" si="28"/>
        <v>2240</v>
      </c>
      <c r="L212" s="19">
        <f t="shared" si="29"/>
        <v>770211.37751838705</v>
      </c>
      <c r="M212" s="19">
        <f>L212*Finanzierung!$B$3/100/12</f>
        <v>2053.8970067156988</v>
      </c>
      <c r="N212" s="19">
        <f t="shared" si="30"/>
        <v>186.10299328430119</v>
      </c>
      <c r="O212">
        <f>O211*(1+Finanzierung!$B$6/100/12)+$H$3</f>
        <v>352512.85332572146</v>
      </c>
      <c r="S212" s="22">
        <f t="shared" si="25"/>
        <v>17.416666666666668</v>
      </c>
      <c r="T212" s="19">
        <f t="shared" si="26"/>
        <v>-502229.78020793363</v>
      </c>
      <c r="U212" s="19">
        <f t="shared" si="27"/>
        <v>-417698.52419266559</v>
      </c>
    </row>
    <row r="213" spans="1:21" x14ac:dyDescent="0.2">
      <c r="A213">
        <v>210</v>
      </c>
      <c r="B213" s="19">
        <f>Finanzierung!$B$5</f>
        <v>3200.0000000000005</v>
      </c>
      <c r="C213" s="19">
        <f t="shared" si="24"/>
        <v>500369.05962182145</v>
      </c>
      <c r="D213" s="19">
        <f>C213*Finanzierung!$B$3/100/12</f>
        <v>1334.3174923248573</v>
      </c>
      <c r="E213" s="19">
        <f t="shared" si="31"/>
        <v>1865.6825076751431</v>
      </c>
      <c r="J213">
        <v>210</v>
      </c>
      <c r="K213" s="19">
        <f t="shared" si="28"/>
        <v>2240</v>
      </c>
      <c r="L213" s="19">
        <f t="shared" si="29"/>
        <v>770025.27452510269</v>
      </c>
      <c r="M213" s="19">
        <f>L213*Finanzierung!$B$3/100/12</f>
        <v>2053.4007320669407</v>
      </c>
      <c r="N213" s="19">
        <f t="shared" si="30"/>
        <v>186.59926793305931</v>
      </c>
      <c r="O213">
        <f>O212*(1+Finanzierung!$B$6/100/12)+$H$3</f>
        <v>355235.41759235004</v>
      </c>
      <c r="S213" s="22">
        <f t="shared" si="25"/>
        <v>17.5</v>
      </c>
      <c r="T213" s="19">
        <f t="shared" si="26"/>
        <v>-500369.05962182145</v>
      </c>
      <c r="U213" s="19">
        <f t="shared" si="27"/>
        <v>-414789.85693275265</v>
      </c>
    </row>
    <row r="214" spans="1:21" x14ac:dyDescent="0.2">
      <c r="A214">
        <v>211</v>
      </c>
      <c r="B214" s="19">
        <f>Finanzierung!$B$5</f>
        <v>3200.0000000000005</v>
      </c>
      <c r="C214" s="19">
        <f t="shared" si="24"/>
        <v>498503.37711414631</v>
      </c>
      <c r="D214" s="19">
        <f>C214*Finanzierung!$B$3/100/12</f>
        <v>1329.342338971057</v>
      </c>
      <c r="E214" s="19">
        <f t="shared" si="31"/>
        <v>1870.6576610289435</v>
      </c>
      <c r="J214">
        <v>211</v>
      </c>
      <c r="K214" s="19">
        <f t="shared" si="28"/>
        <v>2240</v>
      </c>
      <c r="L214" s="19">
        <f t="shared" si="29"/>
        <v>769838.67525716964</v>
      </c>
      <c r="M214" s="19">
        <f>L214*Finanzierung!$B$3/100/12</f>
        <v>2052.9031340191191</v>
      </c>
      <c r="N214" s="19">
        <f t="shared" si="30"/>
        <v>187.09686598088092</v>
      </c>
      <c r="O214">
        <f>O213*(1+Finanzierung!$B$6/100/12)+$H$3</f>
        <v>357971.59468031174</v>
      </c>
      <c r="S214" s="22">
        <f t="shared" si="25"/>
        <v>17.583333333333332</v>
      </c>
      <c r="T214" s="19">
        <f t="shared" si="26"/>
        <v>-498503.37711414631</v>
      </c>
      <c r="U214" s="19">
        <f t="shared" si="27"/>
        <v>-411867.0805768579</v>
      </c>
    </row>
    <row r="215" spans="1:21" x14ac:dyDescent="0.2">
      <c r="A215">
        <v>212</v>
      </c>
      <c r="B215" s="19">
        <f>Finanzierung!$B$5</f>
        <v>3200.0000000000005</v>
      </c>
      <c r="C215" s="19">
        <f t="shared" si="24"/>
        <v>496632.71945311734</v>
      </c>
      <c r="D215" s="19">
        <f>C215*Finanzierung!$B$3/100/12</f>
        <v>1324.3539185416464</v>
      </c>
      <c r="E215" s="19">
        <f t="shared" si="31"/>
        <v>1875.646081458354</v>
      </c>
      <c r="J215">
        <v>212</v>
      </c>
      <c r="K215" s="19">
        <f t="shared" si="28"/>
        <v>2240</v>
      </c>
      <c r="L215" s="19">
        <f t="shared" si="29"/>
        <v>769651.57839118876</v>
      </c>
      <c r="M215" s="19">
        <f>L215*Finanzierung!$B$3/100/12</f>
        <v>2052.4042090431699</v>
      </c>
      <c r="N215" s="19">
        <f t="shared" si="30"/>
        <v>187.59579095683011</v>
      </c>
      <c r="O215">
        <f>O214*(1+Finanzierung!$B$6/100/12)+$H$3</f>
        <v>360721.45265371323</v>
      </c>
      <c r="S215" s="22">
        <f t="shared" si="25"/>
        <v>17.666666666666668</v>
      </c>
      <c r="T215" s="19">
        <f t="shared" si="26"/>
        <v>-496632.71945311734</v>
      </c>
      <c r="U215" s="19">
        <f t="shared" si="27"/>
        <v>-408930.12573747552</v>
      </c>
    </row>
    <row r="216" spans="1:21" x14ac:dyDescent="0.2">
      <c r="A216">
        <v>213</v>
      </c>
      <c r="B216" s="19">
        <f>Finanzierung!$B$5</f>
        <v>3200.0000000000005</v>
      </c>
      <c r="C216" s="19">
        <f t="shared" si="24"/>
        <v>494757.07337165897</v>
      </c>
      <c r="D216" s="19">
        <f>C216*Finanzierung!$B$3/100/12</f>
        <v>1319.3521956577572</v>
      </c>
      <c r="E216" s="19">
        <f t="shared" si="31"/>
        <v>1880.6478043422433</v>
      </c>
      <c r="J216">
        <v>213</v>
      </c>
      <c r="K216" s="19">
        <f t="shared" si="28"/>
        <v>2240</v>
      </c>
      <c r="L216" s="19">
        <f t="shared" si="29"/>
        <v>769463.98260023189</v>
      </c>
      <c r="M216" s="19">
        <f>L216*Finanzierung!$B$3/100/12</f>
        <v>2051.9039536006185</v>
      </c>
      <c r="N216" s="19">
        <f t="shared" si="30"/>
        <v>188.09604639938152</v>
      </c>
      <c r="O216">
        <f>O215*(1+Finanzierung!$B$6/100/12)+$H$3</f>
        <v>363485.05991698179</v>
      </c>
      <c r="S216" s="22">
        <f t="shared" si="25"/>
        <v>17.75</v>
      </c>
      <c r="T216" s="19">
        <f t="shared" si="26"/>
        <v>-494757.07337165897</v>
      </c>
      <c r="U216" s="19">
        <f t="shared" si="27"/>
        <v>-405978.9226832501</v>
      </c>
    </row>
    <row r="217" spans="1:21" x14ac:dyDescent="0.2">
      <c r="A217">
        <v>214</v>
      </c>
      <c r="B217" s="19">
        <f>Finanzierung!$B$5</f>
        <v>3200.0000000000005</v>
      </c>
      <c r="C217" s="19">
        <f t="shared" si="24"/>
        <v>492876.42556731671</v>
      </c>
      <c r="D217" s="19">
        <f>C217*Finanzierung!$B$3/100/12</f>
        <v>1314.3371348461781</v>
      </c>
      <c r="E217" s="19">
        <f t="shared" si="31"/>
        <v>1885.6628651538224</v>
      </c>
      <c r="J217">
        <v>214</v>
      </c>
      <c r="K217" s="19">
        <f t="shared" si="28"/>
        <v>2240</v>
      </c>
      <c r="L217" s="19">
        <f t="shared" si="29"/>
        <v>769275.88655383256</v>
      </c>
      <c r="M217" s="19">
        <f>L217*Finanzierung!$B$3/100/12</f>
        <v>2051.4023641435533</v>
      </c>
      <c r="N217" s="19">
        <f t="shared" si="30"/>
        <v>188.59763585644669</v>
      </c>
      <c r="O217">
        <f>O216*(1+Finanzierung!$B$6/100/12)+$H$3</f>
        <v>366262.48521656665</v>
      </c>
      <c r="S217" s="22">
        <f t="shared" si="25"/>
        <v>17.833333333333332</v>
      </c>
      <c r="T217" s="19">
        <f t="shared" si="26"/>
        <v>-492876.42556731671</v>
      </c>
      <c r="U217" s="19">
        <f t="shared" si="27"/>
        <v>-403013.40133726591</v>
      </c>
    </row>
    <row r="218" spans="1:21" x14ac:dyDescent="0.2">
      <c r="A218">
        <v>215</v>
      </c>
      <c r="B218" s="19">
        <f>Finanzierung!$B$5</f>
        <v>3200.0000000000005</v>
      </c>
      <c r="C218" s="19">
        <f t="shared" si="24"/>
        <v>490990.7627021629</v>
      </c>
      <c r="D218" s="19">
        <f>C218*Finanzierung!$B$3/100/12</f>
        <v>1309.308700539101</v>
      </c>
      <c r="E218" s="19">
        <f t="shared" si="31"/>
        <v>1890.6912994608995</v>
      </c>
      <c r="J218">
        <v>215</v>
      </c>
      <c r="K218" s="19">
        <f t="shared" si="28"/>
        <v>2240</v>
      </c>
      <c r="L218" s="19">
        <f t="shared" si="29"/>
        <v>769087.28891797608</v>
      </c>
      <c r="M218" s="19">
        <f>L218*Finanzierung!$B$3/100/12</f>
        <v>2050.8994371146032</v>
      </c>
      <c r="N218" s="19">
        <f t="shared" si="30"/>
        <v>189.10056288539681</v>
      </c>
      <c r="O218">
        <f>O217*(1+Finanzierung!$B$6/100/12)+$H$3</f>
        <v>369053.79764264944</v>
      </c>
      <c r="S218" s="22">
        <f t="shared" si="25"/>
        <v>17.916666666666668</v>
      </c>
      <c r="T218" s="19">
        <f t="shared" si="26"/>
        <v>-490990.7627021629</v>
      </c>
      <c r="U218" s="19">
        <f t="shared" si="27"/>
        <v>-400033.49127532664</v>
      </c>
    </row>
    <row r="219" spans="1:21" x14ac:dyDescent="0.2">
      <c r="A219">
        <v>216</v>
      </c>
      <c r="B219" s="19">
        <f>Finanzierung!$B$5</f>
        <v>3200.0000000000005</v>
      </c>
      <c r="C219" s="19">
        <f t="shared" si="24"/>
        <v>489100.07140270201</v>
      </c>
      <c r="D219" s="19">
        <f>C219*Finanzierung!$B$3/100/12</f>
        <v>1304.2668570738722</v>
      </c>
      <c r="E219" s="19">
        <f t="shared" si="31"/>
        <v>1895.7331429261283</v>
      </c>
      <c r="J219">
        <v>216</v>
      </c>
      <c r="K219" s="19">
        <f t="shared" si="28"/>
        <v>2240</v>
      </c>
      <c r="L219" s="19">
        <f t="shared" si="29"/>
        <v>768898.18835509068</v>
      </c>
      <c r="M219" s="19">
        <f>L219*Finanzierung!$B$3/100/12</f>
        <v>2050.3951689469086</v>
      </c>
      <c r="N219" s="19">
        <f t="shared" si="30"/>
        <v>189.6048310530914</v>
      </c>
      <c r="O219">
        <f>O218*(1+Finanzierung!$B$6/100/12)+$H$3</f>
        <v>371859.06663086265</v>
      </c>
      <c r="S219" s="22">
        <f t="shared" si="25"/>
        <v>18</v>
      </c>
      <c r="T219" s="19">
        <f t="shared" si="26"/>
        <v>-489100.07140270201</v>
      </c>
      <c r="U219" s="19">
        <f t="shared" si="27"/>
        <v>-397039.12172422803</v>
      </c>
    </row>
    <row r="220" spans="1:21" x14ac:dyDescent="0.2">
      <c r="A220">
        <v>217</v>
      </c>
      <c r="B220" s="19">
        <f>Finanzierung!$B$5</f>
        <v>3200.0000000000005</v>
      </c>
      <c r="C220" s="19">
        <f t="shared" si="24"/>
        <v>487204.33825977589</v>
      </c>
      <c r="D220" s="19">
        <f>C220*Finanzierung!$B$3/100/12</f>
        <v>1299.2115686927357</v>
      </c>
      <c r="E220" s="19">
        <f t="shared" si="31"/>
        <v>1900.7884313072648</v>
      </c>
      <c r="J220">
        <v>217</v>
      </c>
      <c r="K220" s="19">
        <f t="shared" si="28"/>
        <v>2240</v>
      </c>
      <c r="L220" s="19">
        <f t="shared" si="29"/>
        <v>768708.58352403762</v>
      </c>
      <c r="M220" s="19">
        <f>L220*Finanzierung!$B$3/100/12</f>
        <v>2049.8895560641004</v>
      </c>
      <c r="N220" s="19">
        <f t="shared" si="30"/>
        <v>190.11044393589964</v>
      </c>
      <c r="O220">
        <f>O219*(1+Finanzierung!$B$6/100/12)+$H$3</f>
        <v>374678.36196401692</v>
      </c>
      <c r="S220" s="22">
        <f t="shared" si="25"/>
        <v>18.083333333333332</v>
      </c>
      <c r="T220" s="19">
        <f t="shared" si="26"/>
        <v>-487204.33825977589</v>
      </c>
      <c r="U220" s="19">
        <f t="shared" si="27"/>
        <v>-394030.2215600207</v>
      </c>
    </row>
    <row r="221" spans="1:21" x14ac:dyDescent="0.2">
      <c r="A221">
        <v>218</v>
      </c>
      <c r="B221" s="19">
        <f>Finanzierung!$B$5</f>
        <v>3200.0000000000005</v>
      </c>
      <c r="C221" s="19">
        <f t="shared" si="24"/>
        <v>485303.54982846865</v>
      </c>
      <c r="D221" s="19">
        <f>C221*Finanzierung!$B$3/100/12</f>
        <v>1294.1427995425831</v>
      </c>
      <c r="E221" s="19">
        <f t="shared" si="31"/>
        <v>1905.8572004574173</v>
      </c>
      <c r="J221">
        <v>218</v>
      </c>
      <c r="K221" s="19">
        <f t="shared" si="28"/>
        <v>2240</v>
      </c>
      <c r="L221" s="19">
        <f t="shared" si="29"/>
        <v>768518.47308010177</v>
      </c>
      <c r="M221" s="19">
        <f>L221*Finanzierung!$B$3/100/12</f>
        <v>2049.3825948802714</v>
      </c>
      <c r="N221" s="19">
        <f t="shared" si="30"/>
        <v>190.61740511972857</v>
      </c>
      <c r="O221">
        <f>O220*(1+Finanzierung!$B$6/100/12)+$H$3</f>
        <v>377511.75377383694</v>
      </c>
      <c r="S221" s="22">
        <f t="shared" si="25"/>
        <v>18.166666666666668</v>
      </c>
      <c r="T221" s="19">
        <f t="shared" si="26"/>
        <v>-485303.54982846865</v>
      </c>
      <c r="U221" s="19">
        <f t="shared" si="27"/>
        <v>-391006.71930626483</v>
      </c>
    </row>
    <row r="222" spans="1:21" x14ac:dyDescent="0.2">
      <c r="A222">
        <v>219</v>
      </c>
      <c r="B222" s="19">
        <f>Finanzierung!$B$5</f>
        <v>3200.0000000000005</v>
      </c>
      <c r="C222" s="19">
        <f t="shared" si="24"/>
        <v>483397.69262801122</v>
      </c>
      <c r="D222" s="19">
        <f>C222*Finanzierung!$B$3/100/12</f>
        <v>1289.0605136746967</v>
      </c>
      <c r="E222" s="19">
        <f t="shared" si="31"/>
        <v>1910.9394863253037</v>
      </c>
      <c r="J222">
        <v>219</v>
      </c>
      <c r="K222" s="19">
        <f t="shared" si="28"/>
        <v>2240</v>
      </c>
      <c r="L222" s="19">
        <f t="shared" si="29"/>
        <v>768327.85567498207</v>
      </c>
      <c r="M222" s="19">
        <f>L222*Finanzierung!$B$3/100/12</f>
        <v>2048.8742817999523</v>
      </c>
      <c r="N222" s="19">
        <f t="shared" si="30"/>
        <v>191.12571820004769</v>
      </c>
      <c r="O222">
        <f>O221*(1+Finanzierung!$B$6/100/12)+$H$3</f>
        <v>380359.31254270609</v>
      </c>
      <c r="S222" s="22">
        <f t="shared" si="25"/>
        <v>18.25</v>
      </c>
      <c r="T222" s="19">
        <f t="shared" si="26"/>
        <v>-483397.69262801122</v>
      </c>
      <c r="U222" s="19">
        <f t="shared" si="27"/>
        <v>-387968.54313227598</v>
      </c>
    </row>
    <row r="223" spans="1:21" x14ac:dyDescent="0.2">
      <c r="A223">
        <v>220</v>
      </c>
      <c r="B223" s="19">
        <f>Finanzierung!$B$5</f>
        <v>3200.0000000000005</v>
      </c>
      <c r="C223" s="19">
        <f t="shared" si="24"/>
        <v>481486.75314168591</v>
      </c>
      <c r="D223" s="19">
        <f>C223*Finanzierung!$B$3/100/12</f>
        <v>1283.9646750444958</v>
      </c>
      <c r="E223" s="19">
        <f t="shared" si="31"/>
        <v>1916.0353249555046</v>
      </c>
      <c r="J223">
        <v>220</v>
      </c>
      <c r="K223" s="19">
        <f t="shared" si="28"/>
        <v>2240</v>
      </c>
      <c r="L223" s="19">
        <f t="shared" si="29"/>
        <v>768136.72995678207</v>
      </c>
      <c r="M223" s="19">
        <f>L223*Finanzierung!$B$3/100/12</f>
        <v>2048.3646132180857</v>
      </c>
      <c r="N223" s="19">
        <f t="shared" si="30"/>
        <v>191.63538678191435</v>
      </c>
      <c r="O223">
        <f>O222*(1+Finanzierung!$B$6/100/12)+$H$3</f>
        <v>383221.1091054196</v>
      </c>
      <c r="S223" s="22">
        <f t="shared" si="25"/>
        <v>18.333333333333332</v>
      </c>
      <c r="T223" s="19">
        <f t="shared" si="26"/>
        <v>-481486.75314168591</v>
      </c>
      <c r="U223" s="19">
        <f t="shared" si="27"/>
        <v>-384915.62085136247</v>
      </c>
    </row>
    <row r="224" spans="1:21" x14ac:dyDescent="0.2">
      <c r="A224">
        <v>221</v>
      </c>
      <c r="B224" s="19">
        <f>Finanzierung!$B$5</f>
        <v>3200.0000000000005</v>
      </c>
      <c r="C224" s="19">
        <f t="shared" si="24"/>
        <v>479570.71781673038</v>
      </c>
      <c r="D224" s="19">
        <f>C224*Finanzierung!$B$3/100/12</f>
        <v>1278.855247511281</v>
      </c>
      <c r="E224" s="19">
        <f t="shared" si="31"/>
        <v>1921.1447524887194</v>
      </c>
      <c r="J224">
        <v>221</v>
      </c>
      <c r="K224" s="19">
        <f t="shared" si="28"/>
        <v>2240</v>
      </c>
      <c r="L224" s="19">
        <f t="shared" si="29"/>
        <v>767945.09457000019</v>
      </c>
      <c r="M224" s="19">
        <f>L224*Finanzierung!$B$3/100/12</f>
        <v>2047.8535855200007</v>
      </c>
      <c r="N224" s="19">
        <f t="shared" si="30"/>
        <v>192.14641447999929</v>
      </c>
      <c r="O224">
        <f>O223*(1+Finanzierung!$B$6/100/12)+$H$3</f>
        <v>386097.21465094667</v>
      </c>
      <c r="S224" s="22">
        <f t="shared" si="25"/>
        <v>18.416666666666668</v>
      </c>
      <c r="T224" s="19">
        <f t="shared" si="26"/>
        <v>-479570.71781673038</v>
      </c>
      <c r="U224" s="19">
        <f t="shared" si="27"/>
        <v>-381847.87991905352</v>
      </c>
    </row>
    <row r="225" spans="1:21" x14ac:dyDescent="0.2">
      <c r="A225">
        <v>222</v>
      </c>
      <c r="B225" s="19">
        <f>Finanzierung!$B$5</f>
        <v>3200.0000000000005</v>
      </c>
      <c r="C225" s="19">
        <f t="shared" si="24"/>
        <v>477649.57306424167</v>
      </c>
      <c r="D225" s="19">
        <f>C225*Finanzierung!$B$3/100/12</f>
        <v>1273.7321948379779</v>
      </c>
      <c r="E225" s="19">
        <f t="shared" si="31"/>
        <v>1926.2678051620226</v>
      </c>
      <c r="J225">
        <v>222</v>
      </c>
      <c r="K225" s="19">
        <f t="shared" si="28"/>
        <v>2240</v>
      </c>
      <c r="L225" s="19">
        <f t="shared" si="29"/>
        <v>767752.94815552013</v>
      </c>
      <c r="M225" s="19">
        <f>L225*Finanzierung!$B$3/100/12</f>
        <v>2047.341195081387</v>
      </c>
      <c r="N225" s="19">
        <f t="shared" si="30"/>
        <v>192.65880491861299</v>
      </c>
      <c r="O225">
        <f>O224*(1+Finanzierung!$B$6/100/12)+$H$3</f>
        <v>388987.70072420134</v>
      </c>
      <c r="S225" s="22">
        <f t="shared" si="25"/>
        <v>18.5</v>
      </c>
      <c r="T225" s="19">
        <f t="shared" si="26"/>
        <v>-477649.57306424167</v>
      </c>
      <c r="U225" s="19">
        <f t="shared" si="27"/>
        <v>-378765.2474313188</v>
      </c>
    </row>
    <row r="226" spans="1:21" x14ac:dyDescent="0.2">
      <c r="A226">
        <v>223</v>
      </c>
      <c r="B226" s="19">
        <f>Finanzierung!$B$5</f>
        <v>3200.0000000000005</v>
      </c>
      <c r="C226" s="19">
        <f t="shared" si="24"/>
        <v>475723.30525907967</v>
      </c>
      <c r="D226" s="19">
        <f>C226*Finanzierung!$B$3/100/12</f>
        <v>1268.5954806908792</v>
      </c>
      <c r="E226" s="19">
        <f t="shared" si="31"/>
        <v>1931.4045193091213</v>
      </c>
      <c r="J226">
        <v>223</v>
      </c>
      <c r="K226" s="19">
        <f t="shared" si="28"/>
        <v>2240</v>
      </c>
      <c r="L226" s="19">
        <f t="shared" si="29"/>
        <v>767560.2893506015</v>
      </c>
      <c r="M226" s="19">
        <f>L226*Finanzierung!$B$3/100/12</f>
        <v>2046.827438268271</v>
      </c>
      <c r="N226" s="19">
        <f t="shared" si="30"/>
        <v>193.17256173172905</v>
      </c>
      <c r="O226">
        <f>O225*(1+Finanzierung!$B$6/100/12)+$H$3</f>
        <v>391892.63922782231</v>
      </c>
      <c r="S226" s="22">
        <f t="shared" si="25"/>
        <v>18.583333333333332</v>
      </c>
      <c r="T226" s="19">
        <f t="shared" si="26"/>
        <v>-475723.30525907967</v>
      </c>
      <c r="U226" s="19">
        <f t="shared" si="27"/>
        <v>-375667.65012277919</v>
      </c>
    </row>
    <row r="227" spans="1:21" x14ac:dyDescent="0.2">
      <c r="A227">
        <v>224</v>
      </c>
      <c r="B227" s="19">
        <f>Finanzierung!$B$5</f>
        <v>3200.0000000000005</v>
      </c>
      <c r="C227" s="19">
        <f t="shared" si="24"/>
        <v>473791.90073977056</v>
      </c>
      <c r="D227" s="19">
        <f>C227*Finanzierung!$B$3/100/12</f>
        <v>1263.4450686393882</v>
      </c>
      <c r="E227" s="19">
        <f t="shared" si="31"/>
        <v>1936.5549313606123</v>
      </c>
      <c r="J227">
        <v>224</v>
      </c>
      <c r="K227" s="19">
        <f t="shared" si="28"/>
        <v>2240</v>
      </c>
      <c r="L227" s="19">
        <f t="shared" si="29"/>
        <v>767367.11678886972</v>
      </c>
      <c r="M227" s="19">
        <f>L227*Finanzierung!$B$3/100/12</f>
        <v>2046.3123114369862</v>
      </c>
      <c r="N227" s="19">
        <f t="shared" si="30"/>
        <v>193.68768856301381</v>
      </c>
      <c r="O227">
        <f>O226*(1+Finanzierung!$B$6/100/12)+$H$3</f>
        <v>394812.10242396139</v>
      </c>
      <c r="S227" s="22">
        <f t="shared" si="25"/>
        <v>18.666666666666668</v>
      </c>
      <c r="T227" s="19">
        <f t="shared" si="26"/>
        <v>-473791.90073977056</v>
      </c>
      <c r="U227" s="19">
        <f t="shared" si="27"/>
        <v>-372555.01436490833</v>
      </c>
    </row>
    <row r="228" spans="1:21" x14ac:dyDescent="0.2">
      <c r="A228">
        <v>225</v>
      </c>
      <c r="B228" s="19">
        <f>Finanzierung!$B$5</f>
        <v>3200.0000000000005</v>
      </c>
      <c r="C228" s="19">
        <f t="shared" si="24"/>
        <v>471855.34580840997</v>
      </c>
      <c r="D228" s="19">
        <f>C228*Finanzierung!$B$3/100/12</f>
        <v>1258.28092215576</v>
      </c>
      <c r="E228" s="19">
        <f t="shared" si="31"/>
        <v>1941.7190778442405</v>
      </c>
      <c r="J228">
        <v>225</v>
      </c>
      <c r="K228" s="19">
        <f t="shared" si="28"/>
        <v>2240</v>
      </c>
      <c r="L228" s="19">
        <f t="shared" si="29"/>
        <v>767173.4291003067</v>
      </c>
      <c r="M228" s="19">
        <f>L228*Finanzierung!$B$3/100/12</f>
        <v>2045.7958109341509</v>
      </c>
      <c r="N228" s="19">
        <f t="shared" si="30"/>
        <v>194.20418906584905</v>
      </c>
      <c r="O228">
        <f>O227*(1+Finanzierung!$B$6/100/12)+$H$3</f>
        <v>397746.16293608118</v>
      </c>
      <c r="S228" s="22">
        <f t="shared" si="25"/>
        <v>18.75</v>
      </c>
      <c r="T228" s="19">
        <f t="shared" si="26"/>
        <v>-471855.34580840997</v>
      </c>
      <c r="U228" s="19">
        <f t="shared" si="27"/>
        <v>-369427.26616422553</v>
      </c>
    </row>
    <row r="229" spans="1:21" x14ac:dyDescent="0.2">
      <c r="A229">
        <v>226</v>
      </c>
      <c r="B229" s="19">
        <f>Finanzierung!$B$5</f>
        <v>3200.0000000000005</v>
      </c>
      <c r="C229" s="19">
        <f t="shared" si="24"/>
        <v>469913.62673056574</v>
      </c>
      <c r="D229" s="19">
        <f>C229*Finanzierung!$B$3/100/12</f>
        <v>1253.1030046148419</v>
      </c>
      <c r="E229" s="19">
        <f t="shared" si="31"/>
        <v>1946.8969953851586</v>
      </c>
      <c r="J229">
        <v>226</v>
      </c>
      <c r="K229" s="19">
        <f t="shared" si="28"/>
        <v>2240</v>
      </c>
      <c r="L229" s="19">
        <f t="shared" si="29"/>
        <v>766979.22491124086</v>
      </c>
      <c r="M229" s="19">
        <f>L229*Finanzierung!$B$3/100/12</f>
        <v>2045.2779330966423</v>
      </c>
      <c r="N229" s="19">
        <f t="shared" si="30"/>
        <v>194.7220669033577</v>
      </c>
      <c r="O229">
        <f>O228*(1+Finanzierung!$B$6/100/12)+$H$3</f>
        <v>400694.89375076152</v>
      </c>
      <c r="S229" s="22">
        <f t="shared" si="25"/>
        <v>18.833333333333332</v>
      </c>
      <c r="T229" s="19">
        <f t="shared" si="26"/>
        <v>-469913.62673056574</v>
      </c>
      <c r="U229" s="19">
        <f t="shared" si="27"/>
        <v>-366284.33116047934</v>
      </c>
    </row>
    <row r="230" spans="1:21" x14ac:dyDescent="0.2">
      <c r="A230">
        <v>227</v>
      </c>
      <c r="B230" s="19">
        <f>Finanzierung!$B$5</f>
        <v>3200.0000000000005</v>
      </c>
      <c r="C230" s="19">
        <f t="shared" si="24"/>
        <v>467966.72973518056</v>
      </c>
      <c r="D230" s="19">
        <f>C230*Finanzierung!$B$3/100/12</f>
        <v>1247.9112792938147</v>
      </c>
      <c r="E230" s="19">
        <f t="shared" si="31"/>
        <v>1952.0887207061858</v>
      </c>
      <c r="J230">
        <v>227</v>
      </c>
      <c r="K230" s="19">
        <f t="shared" si="28"/>
        <v>2240</v>
      </c>
      <c r="L230" s="19">
        <f t="shared" si="29"/>
        <v>766784.50284433749</v>
      </c>
      <c r="M230" s="19">
        <f>L230*Finanzierung!$B$3/100/12</f>
        <v>2044.7586742515668</v>
      </c>
      <c r="N230" s="19">
        <f t="shared" si="30"/>
        <v>195.24132574843316</v>
      </c>
      <c r="O230">
        <f>O229*(1+Finanzierung!$B$6/100/12)+$H$3</f>
        <v>403658.36821951531</v>
      </c>
      <c r="S230" s="22">
        <f t="shared" si="25"/>
        <v>18.916666666666668</v>
      </c>
      <c r="T230" s="19">
        <f t="shared" si="26"/>
        <v>-467966.72973518056</v>
      </c>
      <c r="U230" s="19">
        <f t="shared" si="27"/>
        <v>-363126.13462482218</v>
      </c>
    </row>
    <row r="231" spans="1:21" x14ac:dyDescent="0.2">
      <c r="A231">
        <v>228</v>
      </c>
      <c r="B231" s="19">
        <f>Finanzierung!$B$5</f>
        <v>3200.0000000000005</v>
      </c>
      <c r="C231" s="19">
        <f t="shared" si="24"/>
        <v>466014.64101447439</v>
      </c>
      <c r="D231" s="19">
        <f>C231*Finanzierung!$B$3/100/12</f>
        <v>1242.7057093719318</v>
      </c>
      <c r="E231" s="19">
        <f t="shared" si="31"/>
        <v>1957.2942906280687</v>
      </c>
      <c r="J231">
        <v>228</v>
      </c>
      <c r="K231" s="19">
        <f t="shared" si="28"/>
        <v>2240</v>
      </c>
      <c r="L231" s="19">
        <f t="shared" si="29"/>
        <v>766589.2615185891</v>
      </c>
      <c r="M231" s="19">
        <f>L231*Finanzierung!$B$3/100/12</f>
        <v>2044.2380307162377</v>
      </c>
      <c r="N231" s="19">
        <f t="shared" si="30"/>
        <v>195.76196928376226</v>
      </c>
      <c r="O231">
        <f>O230*(1+Finanzierung!$B$6/100/12)+$H$3</f>
        <v>406636.66006061283</v>
      </c>
      <c r="S231" s="22">
        <f t="shared" si="25"/>
        <v>19</v>
      </c>
      <c r="T231" s="19">
        <f t="shared" si="26"/>
        <v>-466014.64101447439</v>
      </c>
      <c r="U231" s="19">
        <f t="shared" si="27"/>
        <v>-359952.60145797627</v>
      </c>
    </row>
    <row r="232" spans="1:21" x14ac:dyDescent="0.2">
      <c r="A232">
        <v>229</v>
      </c>
      <c r="B232" s="19">
        <f>Finanzierung!$B$5</f>
        <v>3200.0000000000005</v>
      </c>
      <c r="C232" s="19">
        <f t="shared" si="24"/>
        <v>464057.34672384633</v>
      </c>
      <c r="D232" s="19">
        <f>C232*Finanzierung!$B$3/100/12</f>
        <v>1237.4862579302569</v>
      </c>
      <c r="E232" s="19">
        <f t="shared" si="31"/>
        <v>1962.5137420697436</v>
      </c>
      <c r="J232">
        <v>229</v>
      </c>
      <c r="K232" s="19">
        <f t="shared" si="28"/>
        <v>2240</v>
      </c>
      <c r="L232" s="19">
        <f t="shared" si="29"/>
        <v>766393.4995493053</v>
      </c>
      <c r="M232" s="19">
        <f>L232*Finanzierung!$B$3/100/12</f>
        <v>2043.7159987981474</v>
      </c>
      <c r="N232" s="19">
        <f t="shared" si="30"/>
        <v>196.28400120185256</v>
      </c>
      <c r="O232">
        <f>O231*(1+Finanzierung!$B$6/100/12)+$H$3</f>
        <v>409629.84336091584</v>
      </c>
      <c r="S232" s="22">
        <f t="shared" si="25"/>
        <v>19.083333333333332</v>
      </c>
      <c r="T232" s="19">
        <f t="shared" si="26"/>
        <v>-464057.34672384633</v>
      </c>
      <c r="U232" s="19">
        <f t="shared" si="27"/>
        <v>-356763.65618838946</v>
      </c>
    </row>
    <row r="233" spans="1:21" x14ac:dyDescent="0.2">
      <c r="A233">
        <v>230</v>
      </c>
      <c r="B233" s="19">
        <f>Finanzierung!$B$5</f>
        <v>3200.0000000000005</v>
      </c>
      <c r="C233" s="19">
        <f t="shared" si="24"/>
        <v>462094.83298177656</v>
      </c>
      <c r="D233" s="19">
        <f>C233*Finanzierung!$B$3/100/12</f>
        <v>1232.2528879514041</v>
      </c>
      <c r="E233" s="19">
        <f t="shared" si="31"/>
        <v>1967.7471120485964</v>
      </c>
      <c r="J233">
        <v>230</v>
      </c>
      <c r="K233" s="19">
        <f t="shared" si="28"/>
        <v>2240</v>
      </c>
      <c r="L233" s="19">
        <f t="shared" si="29"/>
        <v>766197.21554810344</v>
      </c>
      <c r="M233" s="19">
        <f>L233*Finanzierung!$B$3/100/12</f>
        <v>2043.1925747949424</v>
      </c>
      <c r="N233" s="19">
        <f t="shared" si="30"/>
        <v>196.8074252050576</v>
      </c>
      <c r="O233">
        <f>O232*(1+Finanzierung!$B$6/100/12)+$H$3</f>
        <v>412637.99257772038</v>
      </c>
      <c r="S233" s="22">
        <f t="shared" si="25"/>
        <v>19.166666666666668</v>
      </c>
      <c r="T233" s="19">
        <f t="shared" si="26"/>
        <v>-462094.83298177656</v>
      </c>
      <c r="U233" s="19">
        <f t="shared" si="27"/>
        <v>-353559.22297038307</v>
      </c>
    </row>
    <row r="234" spans="1:21" x14ac:dyDescent="0.2">
      <c r="A234">
        <v>231</v>
      </c>
      <c r="B234" s="19">
        <f>Finanzierung!$B$5</f>
        <v>3200.0000000000005</v>
      </c>
      <c r="C234" s="19">
        <f t="shared" si="24"/>
        <v>460127.08586972795</v>
      </c>
      <c r="D234" s="19">
        <f>C234*Finanzierung!$B$3/100/12</f>
        <v>1227.0055623192745</v>
      </c>
      <c r="E234" s="19">
        <f t="shared" si="31"/>
        <v>1972.9944376807259</v>
      </c>
      <c r="J234">
        <v>231</v>
      </c>
      <c r="K234" s="19">
        <f t="shared" si="28"/>
        <v>2240</v>
      </c>
      <c r="L234" s="19">
        <f t="shared" si="29"/>
        <v>766000.40812289843</v>
      </c>
      <c r="M234" s="19">
        <f>L234*Finanzierung!$B$3/100/12</f>
        <v>2042.6677549943961</v>
      </c>
      <c r="N234" s="19">
        <f t="shared" si="30"/>
        <v>197.33224500560391</v>
      </c>
      <c r="O234">
        <f>O233*(1+Finanzierung!$B$6/100/12)+$H$3</f>
        <v>415661.18254060892</v>
      </c>
      <c r="S234" s="22">
        <f t="shared" si="25"/>
        <v>19.25</v>
      </c>
      <c r="T234" s="19">
        <f t="shared" si="26"/>
        <v>-460127.08586972795</v>
      </c>
      <c r="U234" s="19">
        <f t="shared" si="27"/>
        <v>-350339.22558228951</v>
      </c>
    </row>
    <row r="235" spans="1:21" x14ac:dyDescent="0.2">
      <c r="A235">
        <v>232</v>
      </c>
      <c r="B235" s="19">
        <f>Finanzierung!$B$5</f>
        <v>3200.0000000000005</v>
      </c>
      <c r="C235" s="19">
        <f t="shared" si="24"/>
        <v>458154.09143204719</v>
      </c>
      <c r="D235" s="19">
        <f>C235*Finanzierung!$B$3/100/12</f>
        <v>1221.7442438187925</v>
      </c>
      <c r="E235" s="19">
        <f t="shared" si="31"/>
        <v>1978.255756181208</v>
      </c>
      <c r="J235">
        <v>232</v>
      </c>
      <c r="K235" s="19">
        <f t="shared" si="28"/>
        <v>2240</v>
      </c>
      <c r="L235" s="19">
        <f t="shared" si="29"/>
        <v>765803.07587789278</v>
      </c>
      <c r="M235" s="19">
        <f>L235*Finanzierung!$B$3/100/12</f>
        <v>2042.141535674381</v>
      </c>
      <c r="N235" s="19">
        <f t="shared" si="30"/>
        <v>197.85846432561902</v>
      </c>
      <c r="O235">
        <f>O234*(1+Finanzierung!$B$6/100/12)+$H$3</f>
        <v>418699.4884533119</v>
      </c>
      <c r="S235" s="22">
        <f t="shared" si="25"/>
        <v>19.333333333333332</v>
      </c>
      <c r="T235" s="19">
        <f t="shared" si="26"/>
        <v>-458154.09143204719</v>
      </c>
      <c r="U235" s="19">
        <f t="shared" si="27"/>
        <v>-347103.58742458088</v>
      </c>
    </row>
    <row r="236" spans="1:21" x14ac:dyDescent="0.2">
      <c r="A236">
        <v>233</v>
      </c>
      <c r="B236" s="19">
        <f>Finanzierung!$B$5</f>
        <v>3200.0000000000005</v>
      </c>
      <c r="C236" s="19">
        <f t="shared" si="24"/>
        <v>456175.83567586599</v>
      </c>
      <c r="D236" s="19">
        <f>C236*Finanzierung!$B$3/100/12</f>
        <v>1216.4688951356427</v>
      </c>
      <c r="E236" s="19">
        <f t="shared" si="31"/>
        <v>1983.5311048643578</v>
      </c>
      <c r="J236">
        <v>233</v>
      </c>
      <c r="K236" s="19">
        <f t="shared" si="28"/>
        <v>2240</v>
      </c>
      <c r="L236" s="19">
        <f t="shared" si="29"/>
        <v>765605.21741356712</v>
      </c>
      <c r="M236" s="19">
        <f>L236*Finanzierung!$B$3/100/12</f>
        <v>2041.6139131028458</v>
      </c>
      <c r="N236" s="19">
        <f t="shared" si="30"/>
        <v>198.3860868971542</v>
      </c>
      <c r="O236">
        <f>O235*(1+Finanzierung!$B$6/100/12)+$H$3</f>
        <v>421752.9858955784</v>
      </c>
      <c r="S236" s="22">
        <f t="shared" si="25"/>
        <v>19.416666666666668</v>
      </c>
      <c r="T236" s="19">
        <f t="shared" si="26"/>
        <v>-456175.83567586599</v>
      </c>
      <c r="U236" s="19">
        <f t="shared" si="27"/>
        <v>-343852.23151798872</v>
      </c>
    </row>
    <row r="237" spans="1:21" x14ac:dyDescent="0.2">
      <c r="A237">
        <v>234</v>
      </c>
      <c r="B237" s="19">
        <f>Finanzierung!$B$5</f>
        <v>3200.0000000000005</v>
      </c>
      <c r="C237" s="19">
        <f t="shared" si="24"/>
        <v>454192.30457100162</v>
      </c>
      <c r="D237" s="19">
        <f>C237*Finanzierung!$B$3/100/12</f>
        <v>1211.1794788560044</v>
      </c>
      <c r="E237" s="19">
        <f t="shared" si="31"/>
        <v>1988.8205211439961</v>
      </c>
      <c r="J237">
        <v>234</v>
      </c>
      <c r="K237" s="19">
        <f t="shared" si="28"/>
        <v>2240</v>
      </c>
      <c r="L237" s="19">
        <f t="shared" si="29"/>
        <v>765406.83132667001</v>
      </c>
      <c r="M237" s="19">
        <f>L237*Finanzierung!$B$3/100/12</f>
        <v>2041.0848835377867</v>
      </c>
      <c r="N237" s="19">
        <f t="shared" si="30"/>
        <v>198.91511646221329</v>
      </c>
      <c r="O237">
        <f>O236*(1+Finanzierung!$B$6/100/12)+$H$3</f>
        <v>424821.75082505622</v>
      </c>
      <c r="S237" s="22">
        <f t="shared" si="25"/>
        <v>19.5</v>
      </c>
      <c r="T237" s="19">
        <f t="shared" si="26"/>
        <v>-454192.30457100162</v>
      </c>
      <c r="U237" s="19">
        <f t="shared" si="27"/>
        <v>-340585.08050161379</v>
      </c>
    </row>
    <row r="238" spans="1:21" x14ac:dyDescent="0.2">
      <c r="A238">
        <v>235</v>
      </c>
      <c r="B238" s="19">
        <f>Finanzierung!$B$5</f>
        <v>3200.0000000000005</v>
      </c>
      <c r="C238" s="19">
        <f t="shared" si="24"/>
        <v>452203.48404985759</v>
      </c>
      <c r="D238" s="19">
        <f>C238*Finanzierung!$B$3/100/12</f>
        <v>1205.875957466287</v>
      </c>
      <c r="E238" s="19">
        <f t="shared" si="31"/>
        <v>1994.1240425337135</v>
      </c>
      <c r="J238">
        <v>235</v>
      </c>
      <c r="K238" s="19">
        <f t="shared" si="28"/>
        <v>2240</v>
      </c>
      <c r="L238" s="19">
        <f t="shared" si="29"/>
        <v>765207.91621020786</v>
      </c>
      <c r="M238" s="19">
        <f>L238*Finanzierung!$B$3/100/12</f>
        <v>2040.5544432272211</v>
      </c>
      <c r="N238" s="19">
        <f t="shared" si="30"/>
        <v>199.4455567727789</v>
      </c>
      <c r="O238">
        <f>O237*(1+Finanzierung!$B$6/100/12)+$H$3</f>
        <v>427905.85957918147</v>
      </c>
      <c r="S238" s="22">
        <f t="shared" si="25"/>
        <v>19.583333333333332</v>
      </c>
      <c r="T238" s="19">
        <f t="shared" si="26"/>
        <v>-452203.48404985759</v>
      </c>
      <c r="U238" s="19">
        <f t="shared" si="27"/>
        <v>-337302.05663102638</v>
      </c>
    </row>
    <row r="239" spans="1:21" x14ac:dyDescent="0.2">
      <c r="A239">
        <v>236</v>
      </c>
      <c r="B239" s="19">
        <f>Finanzierung!$B$5</f>
        <v>3200.0000000000005</v>
      </c>
      <c r="C239" s="19">
        <f t="shared" si="24"/>
        <v>450209.36000732391</v>
      </c>
      <c r="D239" s="19">
        <f>C239*Finanzierung!$B$3/100/12</f>
        <v>1200.5582933528638</v>
      </c>
      <c r="E239" s="19">
        <f t="shared" si="31"/>
        <v>1999.4417066471367</v>
      </c>
      <c r="J239">
        <v>236</v>
      </c>
      <c r="K239" s="19">
        <f t="shared" si="28"/>
        <v>2240</v>
      </c>
      <c r="L239" s="19">
        <f t="shared" si="29"/>
        <v>765008.4706534351</v>
      </c>
      <c r="M239" s="19">
        <f>L239*Finanzierung!$B$3/100/12</f>
        <v>2040.0225884091603</v>
      </c>
      <c r="N239" s="19">
        <f t="shared" si="30"/>
        <v>199.97741159083967</v>
      </c>
      <c r="O239">
        <f>O238*(1+Finanzierung!$B$6/100/12)+$H$3</f>
        <v>431005.38887707732</v>
      </c>
      <c r="S239" s="22">
        <f t="shared" si="25"/>
        <v>19.666666666666668</v>
      </c>
      <c r="T239" s="19">
        <f t="shared" si="26"/>
        <v>-450209.36000732391</v>
      </c>
      <c r="U239" s="19">
        <f t="shared" si="27"/>
        <v>-334003.08177635778</v>
      </c>
    </row>
    <row r="240" spans="1:21" x14ac:dyDescent="0.2">
      <c r="A240">
        <v>237</v>
      </c>
      <c r="B240" s="19">
        <f>Finanzierung!$B$5</f>
        <v>3200.0000000000005</v>
      </c>
      <c r="C240" s="19">
        <f t="shared" si="24"/>
        <v>448209.91830067674</v>
      </c>
      <c r="D240" s="19">
        <f>C240*Finanzierung!$B$3/100/12</f>
        <v>1195.2264488018047</v>
      </c>
      <c r="E240" s="19">
        <f t="shared" si="31"/>
        <v>2004.7735511981957</v>
      </c>
      <c r="J240">
        <v>237</v>
      </c>
      <c r="K240" s="19">
        <f t="shared" si="28"/>
        <v>2240</v>
      </c>
      <c r="L240" s="19">
        <f t="shared" si="29"/>
        <v>764808.49324184423</v>
      </c>
      <c r="M240" s="19">
        <f>L240*Finanzierung!$B$3/100/12</f>
        <v>2039.4893153115847</v>
      </c>
      <c r="N240" s="19">
        <f t="shared" si="30"/>
        <v>200.51068468841527</v>
      </c>
      <c r="O240">
        <f>O239*(1+Finanzierung!$B$6/100/12)+$H$3</f>
        <v>434120.41582146264</v>
      </c>
      <c r="S240" s="22">
        <f t="shared" si="25"/>
        <v>19.75</v>
      </c>
      <c r="T240" s="19">
        <f t="shared" si="26"/>
        <v>-448209.91830067674</v>
      </c>
      <c r="U240" s="19">
        <f t="shared" si="27"/>
        <v>-330688.0774203816</v>
      </c>
    </row>
    <row r="241" spans="1:21" x14ac:dyDescent="0.2">
      <c r="A241">
        <v>238</v>
      </c>
      <c r="B241" s="19">
        <f>Finanzierung!$B$5</f>
        <v>3200.0000000000005</v>
      </c>
      <c r="C241" s="19">
        <f t="shared" si="24"/>
        <v>446205.14474947855</v>
      </c>
      <c r="D241" s="19">
        <f>C241*Finanzierung!$B$3/100/12</f>
        <v>1189.8803859986094</v>
      </c>
      <c r="E241" s="19">
        <f t="shared" si="31"/>
        <v>2010.119614001391</v>
      </c>
      <c r="J241">
        <v>238</v>
      </c>
      <c r="K241" s="19">
        <f t="shared" si="28"/>
        <v>2240</v>
      </c>
      <c r="L241" s="19">
        <f t="shared" si="29"/>
        <v>764607.98255715577</v>
      </c>
      <c r="M241" s="19">
        <f>L241*Finanzierung!$B$3/100/12</f>
        <v>2038.9546201524154</v>
      </c>
      <c r="N241" s="19">
        <f t="shared" si="30"/>
        <v>201.04537984758463</v>
      </c>
      <c r="O241">
        <f>O240*(1+Finanzierung!$B$6/100/12)+$H$3</f>
        <v>437251.01790056989</v>
      </c>
      <c r="S241" s="22">
        <f t="shared" si="25"/>
        <v>19.833333333333332</v>
      </c>
      <c r="T241" s="19">
        <f t="shared" si="26"/>
        <v>-446205.14474947855</v>
      </c>
      <c r="U241" s="19">
        <f t="shared" si="27"/>
        <v>-327356.96465658589</v>
      </c>
    </row>
    <row r="242" spans="1:21" x14ac:dyDescent="0.2">
      <c r="A242">
        <v>239</v>
      </c>
      <c r="B242" s="19">
        <f>Finanzierung!$B$5</f>
        <v>3200.0000000000005</v>
      </c>
      <c r="C242" s="19">
        <f t="shared" si="24"/>
        <v>444195.02513547719</v>
      </c>
      <c r="D242" s="19">
        <f>C242*Finanzierung!$B$3/100/12</f>
        <v>1184.5200670279391</v>
      </c>
      <c r="E242" s="19">
        <f t="shared" si="31"/>
        <v>2015.4799329720613</v>
      </c>
      <c r="J242">
        <v>239</v>
      </c>
      <c r="K242" s="19">
        <f t="shared" si="28"/>
        <v>2240</v>
      </c>
      <c r="L242" s="19">
        <f t="shared" si="29"/>
        <v>764406.93717730814</v>
      </c>
      <c r="M242" s="19">
        <f>L242*Finanzierung!$B$3/100/12</f>
        <v>2038.4184991394884</v>
      </c>
      <c r="N242" s="19">
        <f t="shared" si="30"/>
        <v>201.5815008605116</v>
      </c>
      <c r="O242">
        <f>O241*(1+Finanzierung!$B$6/100/12)+$H$3</f>
        <v>440397.27299007267</v>
      </c>
      <c r="S242" s="22">
        <f t="shared" si="25"/>
        <v>19.916666666666668</v>
      </c>
      <c r="T242" s="19">
        <f t="shared" si="26"/>
        <v>-444195.02513547719</v>
      </c>
      <c r="U242" s="19">
        <f t="shared" si="27"/>
        <v>-324009.66418723547</v>
      </c>
    </row>
    <row r="243" spans="1:21" x14ac:dyDescent="0.2">
      <c r="A243">
        <v>240</v>
      </c>
      <c r="B243" s="19">
        <f>Finanzierung!$B$5</f>
        <v>3200.0000000000005</v>
      </c>
      <c r="C243" s="19">
        <f t="shared" si="24"/>
        <v>442179.54520250513</v>
      </c>
      <c r="D243" s="19">
        <f>C243*Finanzierung!$B$3/100/12</f>
        <v>1179.1454538733472</v>
      </c>
      <c r="E243" s="19">
        <f t="shared" si="31"/>
        <v>2020.8545461266533</v>
      </c>
      <c r="J243">
        <v>240</v>
      </c>
      <c r="K243" s="19">
        <f t="shared" si="28"/>
        <v>2240</v>
      </c>
      <c r="L243" s="19">
        <f t="shared" si="29"/>
        <v>764205.35567644762</v>
      </c>
      <c r="M243" s="19">
        <f>L243*Finanzierung!$B$3/100/12</f>
        <v>2037.8809484705271</v>
      </c>
      <c r="N243" s="19">
        <f t="shared" si="30"/>
        <v>202.11905152947293</v>
      </c>
      <c r="O243">
        <f>O242*(1+Finanzierung!$B$6/100/12)+$H$3</f>
        <v>443559.25935502298</v>
      </c>
      <c r="S243" s="22">
        <f t="shared" si="25"/>
        <v>20</v>
      </c>
      <c r="T243" s="19">
        <f t="shared" si="26"/>
        <v>-442179.54520250513</v>
      </c>
      <c r="U243" s="19">
        <f t="shared" si="27"/>
        <v>-320646.09632142464</v>
      </c>
    </row>
    <row r="244" spans="1:21" x14ac:dyDescent="0.2">
      <c r="A244">
        <v>241</v>
      </c>
      <c r="B244" s="19">
        <f>Finanzierung!$B$5</f>
        <v>3200.0000000000005</v>
      </c>
      <c r="C244" s="19">
        <f t="shared" si="24"/>
        <v>440158.69065637846</v>
      </c>
      <c r="D244" s="19">
        <f>C244*Finanzierung!$B$3/100/12</f>
        <v>1173.7565084170092</v>
      </c>
      <c r="E244" s="19">
        <f t="shared" si="31"/>
        <v>2026.2434915829913</v>
      </c>
      <c r="J244">
        <v>241</v>
      </c>
      <c r="K244" s="19">
        <f t="shared" si="28"/>
        <v>2240</v>
      </c>
      <c r="L244" s="19">
        <f t="shared" si="29"/>
        <v>764003.23662491818</v>
      </c>
      <c r="M244" s="19">
        <f>L244*Finanzierung!$B$3/100/12</f>
        <v>2037.3419643331154</v>
      </c>
      <c r="N244" s="19">
        <f t="shared" si="30"/>
        <v>202.65803566688464</v>
      </c>
      <c r="O244">
        <f>O243*(1+Finanzierung!$B$6/100/12)+$H$3</f>
        <v>446737.05565179803</v>
      </c>
      <c r="S244" s="22">
        <f t="shared" si="25"/>
        <v>20.083333333333332</v>
      </c>
      <c r="T244" s="19">
        <f t="shared" si="26"/>
        <v>-440158.69065637846</v>
      </c>
      <c r="U244" s="19">
        <f t="shared" si="27"/>
        <v>-317266.18097312015</v>
      </c>
    </row>
    <row r="245" spans="1:21" x14ac:dyDescent="0.2">
      <c r="A245">
        <v>242</v>
      </c>
      <c r="B245" s="19">
        <f>Finanzierung!$B$5</f>
        <v>3200.0000000000005</v>
      </c>
      <c r="C245" s="19">
        <f t="shared" si="24"/>
        <v>438132.44716479548</v>
      </c>
      <c r="D245" s="19">
        <f>C245*Finanzierung!$B$3/100/12</f>
        <v>1168.3531924394547</v>
      </c>
      <c r="E245" s="19">
        <f t="shared" si="31"/>
        <v>2031.6468075605458</v>
      </c>
      <c r="J245">
        <v>242</v>
      </c>
      <c r="K245" s="19">
        <f t="shared" si="28"/>
        <v>2240</v>
      </c>
      <c r="L245" s="19">
        <f t="shared" si="29"/>
        <v>763800.57858925126</v>
      </c>
      <c r="M245" s="19">
        <f>L245*Finanzierung!$B$3/100/12</f>
        <v>2036.80154290467</v>
      </c>
      <c r="N245" s="19">
        <f t="shared" si="30"/>
        <v>203.19845709533001</v>
      </c>
      <c r="O245">
        <f>O244*(1+Finanzierung!$B$6/100/12)+$H$3</f>
        <v>449930.74093005696</v>
      </c>
      <c r="S245" s="22">
        <f t="shared" si="25"/>
        <v>20.166666666666668</v>
      </c>
      <c r="T245" s="19">
        <f t="shared" si="26"/>
        <v>-438132.44716479548</v>
      </c>
      <c r="U245" s="19">
        <f t="shared" si="27"/>
        <v>-313869.83765919431</v>
      </c>
    </row>
    <row r="246" spans="1:21" x14ac:dyDescent="0.2">
      <c r="A246">
        <v>243</v>
      </c>
      <c r="B246" s="19">
        <f>Finanzierung!$B$5</f>
        <v>3200.0000000000005</v>
      </c>
      <c r="C246" s="19">
        <f t="shared" si="24"/>
        <v>436100.80035723496</v>
      </c>
      <c r="D246" s="19">
        <f>C246*Finanzierung!$B$3/100/12</f>
        <v>1162.9354676192931</v>
      </c>
      <c r="E246" s="19">
        <f t="shared" si="31"/>
        <v>2037.0645323807073</v>
      </c>
      <c r="J246">
        <v>243</v>
      </c>
      <c r="K246" s="19">
        <f t="shared" si="28"/>
        <v>2240</v>
      </c>
      <c r="L246" s="19">
        <f t="shared" si="29"/>
        <v>763597.38013215596</v>
      </c>
      <c r="M246" s="19">
        <f>L246*Finanzierung!$B$3/100/12</f>
        <v>2036.2596803524159</v>
      </c>
      <c r="N246" s="19">
        <f t="shared" si="30"/>
        <v>203.7403196475841</v>
      </c>
      <c r="O246">
        <f>O245*(1+Finanzierung!$B$6/100/12)+$H$3</f>
        <v>453140.39463470719</v>
      </c>
      <c r="S246" s="22">
        <f t="shared" si="25"/>
        <v>20.25</v>
      </c>
      <c r="T246" s="19">
        <f t="shared" si="26"/>
        <v>-436100.80035723496</v>
      </c>
      <c r="U246" s="19">
        <f t="shared" si="27"/>
        <v>-310456.98549744877</v>
      </c>
    </row>
    <row r="247" spans="1:21" x14ac:dyDescent="0.2">
      <c r="A247">
        <v>244</v>
      </c>
      <c r="B247" s="19">
        <f>Finanzierung!$B$5</f>
        <v>3200.0000000000005</v>
      </c>
      <c r="C247" s="19">
        <f t="shared" si="24"/>
        <v>434063.73582485423</v>
      </c>
      <c r="D247" s="19">
        <f>C247*Finanzierung!$B$3/100/12</f>
        <v>1157.5032955329445</v>
      </c>
      <c r="E247" s="19">
        <f t="shared" si="31"/>
        <v>2042.4967044670559</v>
      </c>
      <c r="J247">
        <v>244</v>
      </c>
      <c r="K247" s="19">
        <f t="shared" si="28"/>
        <v>2240</v>
      </c>
      <c r="L247" s="19">
        <f t="shared" si="29"/>
        <v>763393.63981250837</v>
      </c>
      <c r="M247" s="19">
        <f>L247*Finanzierung!$B$3/100/12</f>
        <v>2035.7163728333555</v>
      </c>
      <c r="N247" s="19">
        <f t="shared" si="30"/>
        <v>204.28362716664446</v>
      </c>
      <c r="O247">
        <f>O246*(1+Finanzierung!$B$6/100/12)+$H$3</f>
        <v>456366.09660788067</v>
      </c>
      <c r="S247" s="22">
        <f t="shared" si="25"/>
        <v>20.333333333333332</v>
      </c>
      <c r="T247" s="19">
        <f t="shared" si="26"/>
        <v>-434063.73582485423</v>
      </c>
      <c r="U247" s="19">
        <f t="shared" si="27"/>
        <v>-307027.5432046277</v>
      </c>
    </row>
    <row r="248" spans="1:21" x14ac:dyDescent="0.2">
      <c r="A248">
        <v>245</v>
      </c>
      <c r="B248" s="19">
        <f>Finanzierung!$B$5</f>
        <v>3200.0000000000005</v>
      </c>
      <c r="C248" s="19">
        <f t="shared" si="24"/>
        <v>432021.23912038718</v>
      </c>
      <c r="D248" s="19">
        <f>C248*Finanzierung!$B$3/100/12</f>
        <v>1152.0566376543659</v>
      </c>
      <c r="E248" s="19">
        <f t="shared" si="31"/>
        <v>2047.9433623456346</v>
      </c>
      <c r="J248">
        <v>245</v>
      </c>
      <c r="K248" s="19">
        <f t="shared" si="28"/>
        <v>2240</v>
      </c>
      <c r="L248" s="19">
        <f t="shared" si="29"/>
        <v>763189.35618534172</v>
      </c>
      <c r="M248" s="19">
        <f>L248*Finanzierung!$B$3/100/12</f>
        <v>2035.1716164942445</v>
      </c>
      <c r="N248" s="19">
        <f t="shared" si="30"/>
        <v>204.82838350575548</v>
      </c>
      <c r="O248">
        <f>O247*(1+Finanzierung!$B$6/100/12)+$H$3</f>
        <v>459607.92709092004</v>
      </c>
      <c r="S248" s="22">
        <f t="shared" si="25"/>
        <v>20.416666666666668</v>
      </c>
      <c r="T248" s="19">
        <f t="shared" si="26"/>
        <v>-432021.23912038718</v>
      </c>
      <c r="U248" s="19">
        <f t="shared" si="27"/>
        <v>-303581.42909442168</v>
      </c>
    </row>
    <row r="249" spans="1:21" x14ac:dyDescent="0.2">
      <c r="A249">
        <v>246</v>
      </c>
      <c r="B249" s="19">
        <f>Finanzierung!$B$5</f>
        <v>3200.0000000000005</v>
      </c>
      <c r="C249" s="19">
        <f t="shared" si="24"/>
        <v>429973.29575804155</v>
      </c>
      <c r="D249" s="19">
        <f>C249*Finanzierung!$B$3/100/12</f>
        <v>1146.5954553547774</v>
      </c>
      <c r="E249" s="19">
        <f t="shared" si="31"/>
        <v>2053.4045446452228</v>
      </c>
      <c r="J249">
        <v>246</v>
      </c>
      <c r="K249" s="19">
        <f t="shared" si="28"/>
        <v>2240</v>
      </c>
      <c r="L249" s="19">
        <f t="shared" si="29"/>
        <v>762984.52780183591</v>
      </c>
      <c r="M249" s="19">
        <f>L249*Finanzierung!$B$3/100/12</f>
        <v>2034.6254074715625</v>
      </c>
      <c r="N249" s="19">
        <f t="shared" si="30"/>
        <v>205.37459252843746</v>
      </c>
      <c r="O249">
        <f>O248*(1+Finanzierung!$B$6/100/12)+$H$3</f>
        <v>462865.96672637458</v>
      </c>
      <c r="S249" s="22">
        <f t="shared" si="25"/>
        <v>20.5</v>
      </c>
      <c r="T249" s="19">
        <f t="shared" si="26"/>
        <v>-429973.29575804155</v>
      </c>
      <c r="U249" s="19">
        <f t="shared" si="27"/>
        <v>-300118.56107546133</v>
      </c>
    </row>
    <row r="250" spans="1:21" x14ac:dyDescent="0.2">
      <c r="A250">
        <v>247</v>
      </c>
      <c r="B250" s="19">
        <f>Finanzierung!$B$5</f>
        <v>3200.0000000000005</v>
      </c>
      <c r="C250" s="19">
        <f t="shared" si="24"/>
        <v>427919.89121339633</v>
      </c>
      <c r="D250" s="19">
        <f>C250*Finanzierung!$B$3/100/12</f>
        <v>1141.1197099023902</v>
      </c>
      <c r="E250" s="19">
        <f t="shared" si="31"/>
        <v>2058.8802900976102</v>
      </c>
      <c r="J250">
        <v>247</v>
      </c>
      <c r="K250" s="19">
        <f t="shared" si="28"/>
        <v>2240</v>
      </c>
      <c r="L250" s="19">
        <f t="shared" si="29"/>
        <v>762779.15320930746</v>
      </c>
      <c r="M250" s="19">
        <f>L250*Finanzierung!$B$3/100/12</f>
        <v>2034.0777418914868</v>
      </c>
      <c r="N250" s="19">
        <f t="shared" si="30"/>
        <v>205.92225810851323</v>
      </c>
      <c r="O250">
        <f>O249*(1+Finanzierung!$B$6/100/12)+$H$3</f>
        <v>466140.29656000639</v>
      </c>
      <c r="S250" s="22">
        <f t="shared" si="25"/>
        <v>20.583333333333332</v>
      </c>
      <c r="T250" s="19">
        <f t="shared" si="26"/>
        <v>-427919.89121339633</v>
      </c>
      <c r="U250" s="19">
        <f t="shared" si="27"/>
        <v>-296638.85664930107</v>
      </c>
    </row>
    <row r="251" spans="1:21" x14ac:dyDescent="0.2">
      <c r="A251">
        <v>248</v>
      </c>
      <c r="B251" s="19">
        <f>Finanzierung!$B$5</f>
        <v>3200.0000000000005</v>
      </c>
      <c r="C251" s="19">
        <f t="shared" si="24"/>
        <v>425861.01092329872</v>
      </c>
      <c r="D251" s="19">
        <f>C251*Finanzierung!$B$3/100/12</f>
        <v>1135.6293624621301</v>
      </c>
      <c r="E251" s="19">
        <f t="shared" si="31"/>
        <v>2064.3706375378706</v>
      </c>
      <c r="J251">
        <v>248</v>
      </c>
      <c r="K251" s="19">
        <f t="shared" si="28"/>
        <v>2240</v>
      </c>
      <c r="L251" s="19">
        <f t="shared" si="29"/>
        <v>762573.23095119896</v>
      </c>
      <c r="M251" s="19">
        <f>L251*Finanzierung!$B$3/100/12</f>
        <v>2033.5286158698639</v>
      </c>
      <c r="N251" s="19">
        <f t="shared" si="30"/>
        <v>206.47138413013613</v>
      </c>
      <c r="O251">
        <f>O250*(1+Finanzierung!$B$6/100/12)+$H$3</f>
        <v>469430.9980428064</v>
      </c>
      <c r="S251" s="22">
        <f t="shared" si="25"/>
        <v>20.666666666666668</v>
      </c>
      <c r="T251" s="19">
        <f t="shared" si="26"/>
        <v>-425861.01092329872</v>
      </c>
      <c r="U251" s="19">
        <f t="shared" si="27"/>
        <v>-293142.23290839256</v>
      </c>
    </row>
    <row r="252" spans="1:21" x14ac:dyDescent="0.2">
      <c r="A252">
        <v>249</v>
      </c>
      <c r="B252" s="19">
        <f>Finanzierung!$B$5</f>
        <v>3200.0000000000005</v>
      </c>
      <c r="C252" s="19">
        <f t="shared" ref="C252:C315" si="32">C251-E251</f>
        <v>423796.64028576086</v>
      </c>
      <c r="D252" s="19">
        <f>C252*Finanzierung!$B$3/100/12</f>
        <v>1130.1243740953623</v>
      </c>
      <c r="E252" s="19">
        <f t="shared" si="31"/>
        <v>2069.8756259046381</v>
      </c>
      <c r="J252">
        <v>249</v>
      </c>
      <c r="K252" s="19">
        <f t="shared" si="28"/>
        <v>2240</v>
      </c>
      <c r="L252" s="19">
        <f t="shared" si="29"/>
        <v>762366.75956706877</v>
      </c>
      <c r="M252" s="19">
        <f>L252*Finanzierung!$B$3/100/12</f>
        <v>2032.9780255121834</v>
      </c>
      <c r="N252" s="19">
        <f t="shared" si="30"/>
        <v>207.02197448781658</v>
      </c>
      <c r="O252">
        <f>O251*(1+Finanzierung!$B$6/100/12)+$H$3</f>
        <v>472738.15303302038</v>
      </c>
      <c r="S252" s="22">
        <f t="shared" si="25"/>
        <v>20.75</v>
      </c>
      <c r="T252" s="19">
        <f t="shared" si="26"/>
        <v>-423796.64028576086</v>
      </c>
      <c r="U252" s="19">
        <f t="shared" si="27"/>
        <v>-289628.60653404839</v>
      </c>
    </row>
    <row r="253" spans="1:21" x14ac:dyDescent="0.2">
      <c r="A253">
        <v>250</v>
      </c>
      <c r="B253" s="19">
        <f>Finanzierung!$B$5</f>
        <v>3200.0000000000005</v>
      </c>
      <c r="C253" s="19">
        <f t="shared" si="32"/>
        <v>421726.76465985621</v>
      </c>
      <c r="D253" s="19">
        <f>C253*Finanzierung!$B$3/100/12</f>
        <v>1124.6047057596168</v>
      </c>
      <c r="E253" s="19">
        <f t="shared" si="31"/>
        <v>2075.3952942403839</v>
      </c>
      <c r="J253">
        <v>250</v>
      </c>
      <c r="K253" s="19">
        <f t="shared" si="28"/>
        <v>2240</v>
      </c>
      <c r="L253" s="19">
        <f t="shared" si="29"/>
        <v>762159.73759258096</v>
      </c>
      <c r="M253" s="19">
        <f>L253*Finanzierung!$B$3/100/12</f>
        <v>2032.425966913549</v>
      </c>
      <c r="N253" s="19">
        <f t="shared" si="30"/>
        <v>207.57403308645098</v>
      </c>
      <c r="O253">
        <f>O252*(1+Finanzierung!$B$6/100/12)+$H$3</f>
        <v>476061.84379818541</v>
      </c>
      <c r="S253" s="22">
        <f t="shared" si="25"/>
        <v>20.833333333333332</v>
      </c>
      <c r="T253" s="19">
        <f t="shared" si="26"/>
        <v>-421726.76465985621</v>
      </c>
      <c r="U253" s="19">
        <f t="shared" si="27"/>
        <v>-286097.89379439555</v>
      </c>
    </row>
    <row r="254" spans="1:21" x14ac:dyDescent="0.2">
      <c r="A254">
        <v>251</v>
      </c>
      <c r="B254" s="19">
        <f>Finanzierung!$B$5</f>
        <v>3200.0000000000005</v>
      </c>
      <c r="C254" s="19">
        <f t="shared" si="32"/>
        <v>419651.36936561583</v>
      </c>
      <c r="D254" s="19">
        <f>C254*Finanzierung!$B$3/100/12</f>
        <v>1119.070318308309</v>
      </c>
      <c r="E254" s="19">
        <f t="shared" si="31"/>
        <v>2080.9296816916913</v>
      </c>
      <c r="J254">
        <v>251</v>
      </c>
      <c r="K254" s="19">
        <f t="shared" si="28"/>
        <v>2240</v>
      </c>
      <c r="L254" s="19">
        <f t="shared" si="29"/>
        <v>761952.16355949454</v>
      </c>
      <c r="M254" s="19">
        <f>L254*Finanzierung!$B$3/100/12</f>
        <v>2031.8724361586519</v>
      </c>
      <c r="N254" s="19">
        <f t="shared" si="30"/>
        <v>208.12756384134809</v>
      </c>
      <c r="O254">
        <f>O253*(1+Finanzierung!$B$6/100/12)+$H$3</f>
        <v>479402.15301717626</v>
      </c>
      <c r="S254" s="22">
        <f t="shared" si="25"/>
        <v>20.916666666666668</v>
      </c>
      <c r="T254" s="19">
        <f t="shared" si="26"/>
        <v>-419651.36936561583</v>
      </c>
      <c r="U254" s="19">
        <f t="shared" si="27"/>
        <v>-282550.01054231828</v>
      </c>
    </row>
    <row r="255" spans="1:21" x14ac:dyDescent="0.2">
      <c r="A255">
        <v>252</v>
      </c>
      <c r="B255" s="19">
        <f>Finanzierung!$B$5</f>
        <v>3200.0000000000005</v>
      </c>
      <c r="C255" s="19">
        <f t="shared" si="32"/>
        <v>417570.43968392414</v>
      </c>
      <c r="D255" s="19">
        <f>C255*Finanzierung!$B$3/100/12</f>
        <v>1113.5211724904646</v>
      </c>
      <c r="E255" s="19">
        <f t="shared" si="31"/>
        <v>2086.4788275095361</v>
      </c>
      <c r="J255">
        <v>252</v>
      </c>
      <c r="K255" s="19">
        <f t="shared" si="28"/>
        <v>2240</v>
      </c>
      <c r="L255" s="19">
        <f t="shared" si="29"/>
        <v>761744.03599565325</v>
      </c>
      <c r="M255" s="19">
        <f>L255*Finanzierung!$B$3/100/12</f>
        <v>2031.3174293217419</v>
      </c>
      <c r="N255" s="19">
        <f t="shared" si="30"/>
        <v>208.68257067825812</v>
      </c>
      <c r="O255">
        <f>O254*(1+Finanzierung!$B$6/100/12)+$H$3</f>
        <v>482759.16378226207</v>
      </c>
      <c r="S255" s="22">
        <f t="shared" si="25"/>
        <v>21</v>
      </c>
      <c r="T255" s="19">
        <f t="shared" si="26"/>
        <v>-417570.43968392414</v>
      </c>
      <c r="U255" s="19">
        <f t="shared" si="27"/>
        <v>-278984.87221339118</v>
      </c>
    </row>
    <row r="256" spans="1:21" x14ac:dyDescent="0.2">
      <c r="A256">
        <v>253</v>
      </c>
      <c r="B256" s="19">
        <f>Finanzierung!$B$5</f>
        <v>3200.0000000000005</v>
      </c>
      <c r="C256" s="19">
        <f t="shared" si="32"/>
        <v>415483.96085641457</v>
      </c>
      <c r="D256" s="19">
        <f>C256*Finanzierung!$B$3/100/12</f>
        <v>1107.957228950439</v>
      </c>
      <c r="E256" s="19">
        <f t="shared" si="31"/>
        <v>2092.0427710495615</v>
      </c>
      <c r="J256">
        <v>253</v>
      </c>
      <c r="K256" s="19">
        <f t="shared" si="28"/>
        <v>2240</v>
      </c>
      <c r="L256" s="19">
        <f t="shared" si="29"/>
        <v>761535.35342497495</v>
      </c>
      <c r="M256" s="19">
        <f>L256*Finanzierung!$B$3/100/12</f>
        <v>2030.7609424666</v>
      </c>
      <c r="N256" s="19">
        <f t="shared" si="30"/>
        <v>209.2390575334</v>
      </c>
      <c r="O256">
        <f>O255*(1+Finanzierung!$B$6/100/12)+$H$3</f>
        <v>486132.95960117335</v>
      </c>
      <c r="S256" s="22">
        <f t="shared" si="25"/>
        <v>21.083333333333332</v>
      </c>
      <c r="T256" s="19">
        <f t="shared" si="26"/>
        <v>-415483.96085641457</v>
      </c>
      <c r="U256" s="19">
        <f t="shared" si="27"/>
        <v>-275402.3938238016</v>
      </c>
    </row>
    <row r="257" spans="1:21" x14ac:dyDescent="0.2">
      <c r="A257">
        <v>254</v>
      </c>
      <c r="B257" s="19">
        <f>Finanzierung!$B$5</f>
        <v>3200.0000000000005</v>
      </c>
      <c r="C257" s="19">
        <f t="shared" si="32"/>
        <v>413391.91808536503</v>
      </c>
      <c r="D257" s="19">
        <f>C257*Finanzierung!$B$3/100/12</f>
        <v>1102.3784482276401</v>
      </c>
      <c r="E257" s="19">
        <f t="shared" si="31"/>
        <v>2097.6215517723604</v>
      </c>
      <c r="J257">
        <v>254</v>
      </c>
      <c r="K257" s="19">
        <f t="shared" si="28"/>
        <v>2240</v>
      </c>
      <c r="L257" s="19">
        <f t="shared" si="29"/>
        <v>761326.11436744151</v>
      </c>
      <c r="M257" s="19">
        <f>L257*Finanzierung!$B$3/100/12</f>
        <v>2030.2029716465106</v>
      </c>
      <c r="N257" s="19">
        <f t="shared" si="30"/>
        <v>209.7970283534894</v>
      </c>
      <c r="O257">
        <f>O256*(1+Finanzierung!$B$6/100/12)+$H$3</f>
        <v>489523.62439917919</v>
      </c>
      <c r="S257" s="22">
        <f t="shared" si="25"/>
        <v>21.166666666666668</v>
      </c>
      <c r="T257" s="19">
        <f t="shared" si="26"/>
        <v>-413391.91808536503</v>
      </c>
      <c r="U257" s="19">
        <f t="shared" si="27"/>
        <v>-271802.48996826232</v>
      </c>
    </row>
    <row r="258" spans="1:21" x14ac:dyDescent="0.2">
      <c r="A258">
        <v>255</v>
      </c>
      <c r="B258" s="19">
        <f>Finanzierung!$B$5</f>
        <v>3200.0000000000005</v>
      </c>
      <c r="C258" s="19">
        <f t="shared" si="32"/>
        <v>411294.29653359269</v>
      </c>
      <c r="D258" s="19">
        <f>C258*Finanzierung!$B$3/100/12</f>
        <v>1096.7847907562473</v>
      </c>
      <c r="E258" s="19">
        <f t="shared" si="31"/>
        <v>2103.2152092437532</v>
      </c>
      <c r="J258">
        <v>255</v>
      </c>
      <c r="K258" s="19">
        <f t="shared" si="28"/>
        <v>2240</v>
      </c>
      <c r="L258" s="19">
        <f t="shared" si="29"/>
        <v>761116.31733908807</v>
      </c>
      <c r="M258" s="19">
        <f>L258*Finanzierung!$B$3/100/12</f>
        <v>2029.643512904235</v>
      </c>
      <c r="N258" s="19">
        <f t="shared" si="30"/>
        <v>210.35648709576503</v>
      </c>
      <c r="O258">
        <f>O257*(1+Finanzierung!$B$6/100/12)+$H$3</f>
        <v>492931.24252117501</v>
      </c>
      <c r="S258" s="22">
        <f t="shared" si="25"/>
        <v>21.25</v>
      </c>
      <c r="T258" s="19">
        <f t="shared" si="26"/>
        <v>-411294.29653359269</v>
      </c>
      <c r="U258" s="19">
        <f t="shared" si="27"/>
        <v>-268185.07481791306</v>
      </c>
    </row>
    <row r="259" spans="1:21" x14ac:dyDescent="0.2">
      <c r="A259">
        <v>256</v>
      </c>
      <c r="B259" s="19">
        <f>Finanzierung!$B$5</f>
        <v>3200.0000000000005</v>
      </c>
      <c r="C259" s="19">
        <f t="shared" si="32"/>
        <v>409191.08132434892</v>
      </c>
      <c r="D259" s="19">
        <f>C259*Finanzierung!$B$3/100/12</f>
        <v>1091.1762168649304</v>
      </c>
      <c r="E259" s="19">
        <f t="shared" si="31"/>
        <v>2108.8237831350698</v>
      </c>
      <c r="J259">
        <v>256</v>
      </c>
      <c r="K259" s="19">
        <f t="shared" si="28"/>
        <v>2240</v>
      </c>
      <c r="L259" s="19">
        <f t="shared" si="29"/>
        <v>760905.96085199225</v>
      </c>
      <c r="M259" s="19">
        <f>L259*Finanzierung!$B$3/100/12</f>
        <v>2029.0825622719794</v>
      </c>
      <c r="N259" s="19">
        <f t="shared" si="30"/>
        <v>210.91743772802056</v>
      </c>
      <c r="O259">
        <f>O258*(1+Finanzierung!$B$6/100/12)+$H$3</f>
        <v>496355.89873378084</v>
      </c>
      <c r="S259" s="22">
        <f t="shared" si="25"/>
        <v>21.333333333333332</v>
      </c>
      <c r="T259" s="19">
        <f t="shared" si="26"/>
        <v>-409191.08132434892</v>
      </c>
      <c r="U259" s="19">
        <f t="shared" si="27"/>
        <v>-264550.06211821141</v>
      </c>
    </row>
    <row r="260" spans="1:21" x14ac:dyDescent="0.2">
      <c r="A260">
        <v>257</v>
      </c>
      <c r="B260" s="19">
        <f>Finanzierung!$B$5</f>
        <v>3200.0000000000005</v>
      </c>
      <c r="C260" s="19">
        <f t="shared" si="32"/>
        <v>407082.25754121388</v>
      </c>
      <c r="D260" s="19">
        <f>C260*Finanzierung!$B$3/100/12</f>
        <v>1085.5526867765705</v>
      </c>
      <c r="E260" s="19">
        <f t="shared" si="31"/>
        <v>2114.4473132234298</v>
      </c>
      <c r="J260">
        <v>257</v>
      </c>
      <c r="K260" s="19">
        <f t="shared" si="28"/>
        <v>2240</v>
      </c>
      <c r="L260" s="19">
        <f t="shared" si="29"/>
        <v>760695.04341426422</v>
      </c>
      <c r="M260" s="19">
        <f>L260*Finanzierung!$B$3/100/12</f>
        <v>2028.5201157713711</v>
      </c>
      <c r="N260" s="19">
        <f t="shared" si="30"/>
        <v>211.47988422862886</v>
      </c>
      <c r="O260">
        <f>O259*(1+Finanzierung!$B$6/100/12)+$H$3</f>
        <v>499797.67822744971</v>
      </c>
      <c r="S260" s="22">
        <f t="shared" ref="S260:S323" si="33">J260/12</f>
        <v>21.416666666666668</v>
      </c>
      <c r="T260" s="19">
        <f t="shared" ref="T260:T323" si="34">-C260</f>
        <v>-407082.25754121388</v>
      </c>
      <c r="U260" s="19">
        <f t="shared" ref="U260:U323" si="35">O260-L260</f>
        <v>-260897.36518681451</v>
      </c>
    </row>
    <row r="261" spans="1:21" x14ac:dyDescent="0.2">
      <c r="A261">
        <v>258</v>
      </c>
      <c r="B261" s="19">
        <f>Finanzierung!$B$5</f>
        <v>3200.0000000000005</v>
      </c>
      <c r="C261" s="19">
        <f t="shared" si="32"/>
        <v>404967.81022799044</v>
      </c>
      <c r="D261" s="19">
        <f>C261*Finanzierung!$B$3/100/12</f>
        <v>1079.9141606079745</v>
      </c>
      <c r="E261" s="19">
        <f t="shared" si="31"/>
        <v>2120.0858393920262</v>
      </c>
      <c r="J261">
        <v>258</v>
      </c>
      <c r="K261" s="19">
        <f t="shared" ref="K261:K324" si="36">$H$1</f>
        <v>2240</v>
      </c>
      <c r="L261" s="19">
        <f t="shared" ref="L261:L324" si="37">L260-N260</f>
        <v>760483.56353003555</v>
      </c>
      <c r="M261" s="19">
        <f>L261*Finanzierung!$B$3/100/12</f>
        <v>2027.9561694134281</v>
      </c>
      <c r="N261" s="19">
        <f t="shared" ref="N261:N324" si="38">K261-M261</f>
        <v>212.04383058657186</v>
      </c>
      <c r="O261">
        <f>O260*(1+Finanzierung!$B$6/100/12)+$H$3</f>
        <v>503256.66661858693</v>
      </c>
      <c r="S261" s="22">
        <f t="shared" si="33"/>
        <v>21.5</v>
      </c>
      <c r="T261" s="19">
        <f t="shared" si="34"/>
        <v>-404967.81022799044</v>
      </c>
      <c r="U261" s="19">
        <f t="shared" si="35"/>
        <v>-257226.89691144862</v>
      </c>
    </row>
    <row r="262" spans="1:21" x14ac:dyDescent="0.2">
      <c r="A262">
        <v>259</v>
      </c>
      <c r="B262" s="19">
        <f>Finanzierung!$B$5</f>
        <v>3200.0000000000005</v>
      </c>
      <c r="C262" s="19">
        <f t="shared" si="32"/>
        <v>402847.72438859841</v>
      </c>
      <c r="D262" s="19">
        <f>C262*Finanzierung!$B$3/100/12</f>
        <v>1074.2605983695958</v>
      </c>
      <c r="E262" s="19">
        <f t="shared" ref="E262:E325" si="39">B262-D262</f>
        <v>2125.7394016304047</v>
      </c>
      <c r="J262">
        <v>259</v>
      </c>
      <c r="K262" s="19">
        <f t="shared" si="36"/>
        <v>2240</v>
      </c>
      <c r="L262" s="19">
        <f t="shared" si="37"/>
        <v>760271.51969944895</v>
      </c>
      <c r="M262" s="19">
        <f>L262*Finanzierung!$B$3/100/12</f>
        <v>2027.3907191985306</v>
      </c>
      <c r="N262" s="19">
        <f t="shared" si="38"/>
        <v>212.60928080146937</v>
      </c>
      <c r="O262">
        <f>O261*(1+Finanzierung!$B$6/100/12)+$H$3</f>
        <v>506732.9499516798</v>
      </c>
      <c r="S262" s="22">
        <f t="shared" si="33"/>
        <v>21.583333333333332</v>
      </c>
      <c r="T262" s="19">
        <f t="shared" si="34"/>
        <v>-402847.72438859841</v>
      </c>
      <c r="U262" s="19">
        <f t="shared" si="35"/>
        <v>-253538.56974776916</v>
      </c>
    </row>
    <row r="263" spans="1:21" x14ac:dyDescent="0.2">
      <c r="A263">
        <v>260</v>
      </c>
      <c r="B263" s="19">
        <f>Finanzierung!$B$5</f>
        <v>3200.0000000000005</v>
      </c>
      <c r="C263" s="19">
        <f t="shared" si="32"/>
        <v>400721.98498696799</v>
      </c>
      <c r="D263" s="19">
        <f>C263*Finanzierung!$B$3/100/12</f>
        <v>1068.5919599652482</v>
      </c>
      <c r="E263" s="19">
        <f t="shared" si="39"/>
        <v>2131.408040034752</v>
      </c>
      <c r="J263">
        <v>260</v>
      </c>
      <c r="K263" s="19">
        <f t="shared" si="36"/>
        <v>2240</v>
      </c>
      <c r="L263" s="19">
        <f t="shared" si="37"/>
        <v>760058.91041864746</v>
      </c>
      <c r="M263" s="19">
        <f>L263*Finanzierung!$B$3/100/12</f>
        <v>2026.8237611163931</v>
      </c>
      <c r="N263" s="19">
        <f t="shared" si="38"/>
        <v>213.17623888360686</v>
      </c>
      <c r="O263">
        <f>O262*(1+Finanzierung!$B$6/100/12)+$H$3</f>
        <v>510226.61470143811</v>
      </c>
      <c r="S263" s="22">
        <f t="shared" si="33"/>
        <v>21.666666666666668</v>
      </c>
      <c r="T263" s="19">
        <f t="shared" si="34"/>
        <v>-400721.98498696799</v>
      </c>
      <c r="U263" s="19">
        <f t="shared" si="35"/>
        <v>-249832.29571720934</v>
      </c>
    </row>
    <row r="264" spans="1:21" x14ac:dyDescent="0.2">
      <c r="A264">
        <v>261</v>
      </c>
      <c r="B264" s="19">
        <f>Finanzierung!$B$5</f>
        <v>3200.0000000000005</v>
      </c>
      <c r="C264" s="19">
        <f t="shared" si="32"/>
        <v>398590.57694693323</v>
      </c>
      <c r="D264" s="19">
        <f>C264*Finanzierung!$B$3/100/12</f>
        <v>1062.9082051918222</v>
      </c>
      <c r="E264" s="19">
        <f t="shared" si="39"/>
        <v>2137.0917948081783</v>
      </c>
      <c r="J264">
        <v>261</v>
      </c>
      <c r="K264" s="19">
        <f t="shared" si="36"/>
        <v>2240</v>
      </c>
      <c r="L264" s="19">
        <f t="shared" si="37"/>
        <v>759845.73417976382</v>
      </c>
      <c r="M264" s="19">
        <f>L264*Finanzierung!$B$3/100/12</f>
        <v>2026.2552911460368</v>
      </c>
      <c r="N264" s="19">
        <f t="shared" si="38"/>
        <v>213.74470885396317</v>
      </c>
      <c r="O264">
        <f>O263*(1+Finanzierung!$B$6/100/12)+$H$3</f>
        <v>513737.74777494522</v>
      </c>
      <c r="S264" s="22">
        <f t="shared" si="33"/>
        <v>21.75</v>
      </c>
      <c r="T264" s="19">
        <f t="shared" si="34"/>
        <v>-398590.57694693323</v>
      </c>
      <c r="U264" s="19">
        <f t="shared" si="35"/>
        <v>-246107.9864048186</v>
      </c>
    </row>
    <row r="265" spans="1:21" x14ac:dyDescent="0.2">
      <c r="A265">
        <v>262</v>
      </c>
      <c r="B265" s="19">
        <f>Finanzierung!$B$5</f>
        <v>3200.0000000000005</v>
      </c>
      <c r="C265" s="19">
        <f t="shared" si="32"/>
        <v>396453.48515212507</v>
      </c>
      <c r="D265" s="19">
        <f>C265*Finanzierung!$B$3/100/12</f>
        <v>1057.209293739</v>
      </c>
      <c r="E265" s="19">
        <f t="shared" si="39"/>
        <v>2142.7907062610002</v>
      </c>
      <c r="J265">
        <v>262</v>
      </c>
      <c r="K265" s="19">
        <f t="shared" si="36"/>
        <v>2240</v>
      </c>
      <c r="L265" s="19">
        <f t="shared" si="37"/>
        <v>759631.98947090982</v>
      </c>
      <c r="M265" s="19">
        <f>L265*Finanzierung!$B$3/100/12</f>
        <v>2025.6853052557599</v>
      </c>
      <c r="N265" s="19">
        <f t="shared" si="38"/>
        <v>214.31469474424011</v>
      </c>
      <c r="O265">
        <f>O264*(1+Finanzierung!$B$6/100/12)+$H$3</f>
        <v>517266.43651381991</v>
      </c>
      <c r="S265" s="22">
        <f t="shared" si="33"/>
        <v>21.833333333333332</v>
      </c>
      <c r="T265" s="19">
        <f t="shared" si="34"/>
        <v>-396453.48515212507</v>
      </c>
      <c r="U265" s="19">
        <f t="shared" si="35"/>
        <v>-242365.55295708991</v>
      </c>
    </row>
    <row r="266" spans="1:21" x14ac:dyDescent="0.2">
      <c r="A266">
        <v>263</v>
      </c>
      <c r="B266" s="19">
        <f>Finanzierung!$B$5</f>
        <v>3200.0000000000005</v>
      </c>
      <c r="C266" s="19">
        <f t="shared" si="32"/>
        <v>394310.69444586406</v>
      </c>
      <c r="D266" s="19">
        <f>C266*Finanzierung!$B$3/100/12</f>
        <v>1051.4951851889707</v>
      </c>
      <c r="E266" s="19">
        <f t="shared" si="39"/>
        <v>2148.50481481103</v>
      </c>
      <c r="J266">
        <v>263</v>
      </c>
      <c r="K266" s="19">
        <f t="shared" si="36"/>
        <v>2240</v>
      </c>
      <c r="L266" s="19">
        <f t="shared" si="37"/>
        <v>759417.67477616563</v>
      </c>
      <c r="M266" s="19">
        <f>L266*Finanzierung!$B$3/100/12</f>
        <v>2025.1137994031085</v>
      </c>
      <c r="N266" s="19">
        <f t="shared" si="38"/>
        <v>214.88620059689151</v>
      </c>
      <c r="O266">
        <f>O265*(1+Finanzierung!$B$6/100/12)+$H$3</f>
        <v>520812.76869638893</v>
      </c>
      <c r="S266" s="22">
        <f t="shared" si="33"/>
        <v>21.916666666666668</v>
      </c>
      <c r="T266" s="19">
        <f t="shared" si="34"/>
        <v>-394310.69444586406</v>
      </c>
      <c r="U266" s="19">
        <f t="shared" si="35"/>
        <v>-238604.9060797767</v>
      </c>
    </row>
    <row r="267" spans="1:21" x14ac:dyDescent="0.2">
      <c r="A267">
        <v>264</v>
      </c>
      <c r="B267" s="19">
        <f>Finanzierung!$B$5</f>
        <v>3200.0000000000005</v>
      </c>
      <c r="C267" s="19">
        <f t="shared" si="32"/>
        <v>392162.18963105301</v>
      </c>
      <c r="D267" s="19">
        <f>C267*Finanzierung!$B$3/100/12</f>
        <v>1045.7658390161414</v>
      </c>
      <c r="E267" s="19">
        <f t="shared" si="39"/>
        <v>2154.2341609838591</v>
      </c>
      <c r="J267">
        <v>264</v>
      </c>
      <c r="K267" s="19">
        <f t="shared" si="36"/>
        <v>2240</v>
      </c>
      <c r="L267" s="19">
        <f t="shared" si="37"/>
        <v>759202.7885755687</v>
      </c>
      <c r="M267" s="19">
        <f>L267*Finanzierung!$B$3/100/12</f>
        <v>2024.5407695348497</v>
      </c>
      <c r="N267" s="19">
        <f t="shared" si="38"/>
        <v>215.45923046515031</v>
      </c>
      <c r="O267">
        <f>O266*(1+Finanzierung!$B$6/100/12)+$H$3</f>
        <v>524376.83253987087</v>
      </c>
      <c r="S267" s="22">
        <f t="shared" si="33"/>
        <v>22</v>
      </c>
      <c r="T267" s="19">
        <f t="shared" si="34"/>
        <v>-392162.18963105301</v>
      </c>
      <c r="U267" s="19">
        <f t="shared" si="35"/>
        <v>-234825.95603569783</v>
      </c>
    </row>
    <row r="268" spans="1:21" x14ac:dyDescent="0.2">
      <c r="A268">
        <v>265</v>
      </c>
      <c r="B268" s="19">
        <f>Finanzierung!$B$5</f>
        <v>3200.0000000000005</v>
      </c>
      <c r="C268" s="19">
        <f t="shared" si="32"/>
        <v>390007.95547006914</v>
      </c>
      <c r="D268" s="19">
        <f>C268*Finanzierung!$B$3/100/12</f>
        <v>1040.0212145868511</v>
      </c>
      <c r="E268" s="19">
        <f t="shared" si="39"/>
        <v>2159.9787854131491</v>
      </c>
      <c r="J268">
        <v>265</v>
      </c>
      <c r="K268" s="19">
        <f t="shared" si="36"/>
        <v>2240</v>
      </c>
      <c r="L268" s="19">
        <f t="shared" si="37"/>
        <v>758987.32934510359</v>
      </c>
      <c r="M268" s="19">
        <f>L268*Finanzierung!$B$3/100/12</f>
        <v>2023.966211586943</v>
      </c>
      <c r="N268" s="19">
        <f t="shared" si="38"/>
        <v>216.03378841305698</v>
      </c>
      <c r="O268">
        <f>O267*(1+Finanzierung!$B$6/100/12)+$H$3</f>
        <v>527958.71670257021</v>
      </c>
      <c r="S268" s="22">
        <f t="shared" si="33"/>
        <v>22.083333333333332</v>
      </c>
      <c r="T268" s="19">
        <f t="shared" si="34"/>
        <v>-390007.95547006914</v>
      </c>
      <c r="U268" s="19">
        <f t="shared" si="35"/>
        <v>-231028.61264253338</v>
      </c>
    </row>
    <row r="269" spans="1:21" x14ac:dyDescent="0.2">
      <c r="A269">
        <v>266</v>
      </c>
      <c r="B269" s="19">
        <f>Finanzierung!$B$5</f>
        <v>3200.0000000000005</v>
      </c>
      <c r="C269" s="19">
        <f t="shared" si="32"/>
        <v>387847.97668465599</v>
      </c>
      <c r="D269" s="19">
        <f>C269*Finanzierung!$B$3/100/12</f>
        <v>1034.2612711590828</v>
      </c>
      <c r="E269" s="19">
        <f t="shared" si="39"/>
        <v>2165.7387288409177</v>
      </c>
      <c r="J269">
        <v>266</v>
      </c>
      <c r="K269" s="19">
        <f t="shared" si="36"/>
        <v>2240</v>
      </c>
      <c r="L269" s="19">
        <f t="shared" si="37"/>
        <v>758771.29555669054</v>
      </c>
      <c r="M269" s="19">
        <f>L269*Finanzierung!$B$3/100/12</f>
        <v>2023.3901214845082</v>
      </c>
      <c r="N269" s="19">
        <f t="shared" si="38"/>
        <v>216.6098785154918</v>
      </c>
      <c r="O269">
        <f>O268*(1+Finanzierung!$B$6/100/12)+$H$3</f>
        <v>531558.51028608298</v>
      </c>
      <c r="S269" s="22">
        <f t="shared" si="33"/>
        <v>22.166666666666668</v>
      </c>
      <c r="T269" s="19">
        <f t="shared" si="34"/>
        <v>-387847.97668465599</v>
      </c>
      <c r="U269" s="19">
        <f t="shared" si="35"/>
        <v>-227212.78527060756</v>
      </c>
    </row>
    <row r="270" spans="1:21" x14ac:dyDescent="0.2">
      <c r="A270">
        <v>267</v>
      </c>
      <c r="B270" s="19">
        <f>Finanzierung!$B$5</f>
        <v>3200.0000000000005</v>
      </c>
      <c r="C270" s="19">
        <f t="shared" si="32"/>
        <v>385682.2379558151</v>
      </c>
      <c r="D270" s="19">
        <f>C270*Finanzierung!$B$3/100/12</f>
        <v>1028.4859678821738</v>
      </c>
      <c r="E270" s="19">
        <f t="shared" si="39"/>
        <v>2171.5140321178269</v>
      </c>
      <c r="J270">
        <v>267</v>
      </c>
      <c r="K270" s="19">
        <f t="shared" si="36"/>
        <v>2240</v>
      </c>
      <c r="L270" s="19">
        <f t="shared" si="37"/>
        <v>758554.68567817507</v>
      </c>
      <c r="M270" s="19">
        <f>L270*Finanzierung!$B$3/100/12</f>
        <v>2022.8124951418004</v>
      </c>
      <c r="N270" s="19">
        <f t="shared" si="38"/>
        <v>217.18750485819965</v>
      </c>
      <c r="O270">
        <f>O269*(1+Finanzierung!$B$6/100/12)+$H$3</f>
        <v>535176.30283751339</v>
      </c>
      <c r="S270" s="22">
        <f t="shared" si="33"/>
        <v>22.25</v>
      </c>
      <c r="T270" s="19">
        <f t="shared" si="34"/>
        <v>-385682.2379558151</v>
      </c>
      <c r="U270" s="19">
        <f t="shared" si="35"/>
        <v>-223378.38284066168</v>
      </c>
    </row>
    <row r="271" spans="1:21" x14ac:dyDescent="0.2">
      <c r="A271">
        <v>268</v>
      </c>
      <c r="B271" s="19">
        <f>Finanzierung!$B$5</f>
        <v>3200.0000000000005</v>
      </c>
      <c r="C271" s="19">
        <f t="shared" si="32"/>
        <v>383510.72392369725</v>
      </c>
      <c r="D271" s="19">
        <f>C271*Finanzierung!$B$3/100/12</f>
        <v>1022.6952637965261</v>
      </c>
      <c r="E271" s="19">
        <f t="shared" si="39"/>
        <v>2177.3047362034745</v>
      </c>
      <c r="J271">
        <v>268</v>
      </c>
      <c r="K271" s="19">
        <f t="shared" si="36"/>
        <v>2240</v>
      </c>
      <c r="L271" s="19">
        <f t="shared" si="37"/>
        <v>758337.49817331682</v>
      </c>
      <c r="M271" s="19">
        <f>L271*Finanzierung!$B$3/100/12</f>
        <v>2022.2333284621782</v>
      </c>
      <c r="N271" s="19">
        <f t="shared" si="38"/>
        <v>217.76667153782182</v>
      </c>
      <c r="O271">
        <f>O270*(1+Finanzierung!$B$6/100/12)+$H$3</f>
        <v>538812.18435170094</v>
      </c>
      <c r="S271" s="22">
        <f t="shared" si="33"/>
        <v>22.333333333333332</v>
      </c>
      <c r="T271" s="19">
        <f t="shared" si="34"/>
        <v>-383510.72392369725</v>
      </c>
      <c r="U271" s="19">
        <f t="shared" si="35"/>
        <v>-219525.31382161588</v>
      </c>
    </row>
    <row r="272" spans="1:21" x14ac:dyDescent="0.2">
      <c r="A272">
        <v>269</v>
      </c>
      <c r="B272" s="19">
        <f>Finanzierung!$B$5</f>
        <v>3200.0000000000005</v>
      </c>
      <c r="C272" s="19">
        <f t="shared" si="32"/>
        <v>381333.4191874938</v>
      </c>
      <c r="D272" s="19">
        <f>C272*Finanzierung!$B$3/100/12</f>
        <v>1016.8891178333168</v>
      </c>
      <c r="E272" s="19">
        <f t="shared" si="39"/>
        <v>2183.1108821666835</v>
      </c>
      <c r="J272">
        <v>269</v>
      </c>
      <c r="K272" s="19">
        <f t="shared" si="36"/>
        <v>2240</v>
      </c>
      <c r="L272" s="19">
        <f t="shared" si="37"/>
        <v>758119.73150177905</v>
      </c>
      <c r="M272" s="19">
        <f>L272*Finanzierung!$B$3/100/12</f>
        <v>2021.6526173380773</v>
      </c>
      <c r="N272" s="19">
        <f t="shared" si="38"/>
        <v>218.34738266192267</v>
      </c>
      <c r="O272">
        <f>O271*(1+Finanzierung!$B$6/100/12)+$H$3</f>
        <v>542466.24527345935</v>
      </c>
      <c r="S272" s="22">
        <f t="shared" si="33"/>
        <v>22.416666666666668</v>
      </c>
      <c r="T272" s="19">
        <f t="shared" si="34"/>
        <v>-381333.4191874938</v>
      </c>
      <c r="U272" s="19">
        <f t="shared" si="35"/>
        <v>-215653.4862283197</v>
      </c>
    </row>
    <row r="273" spans="1:21" x14ac:dyDescent="0.2">
      <c r="A273">
        <v>270</v>
      </c>
      <c r="B273" s="19">
        <f>Finanzierung!$B$5</f>
        <v>3200.0000000000005</v>
      </c>
      <c r="C273" s="19">
        <f t="shared" si="32"/>
        <v>379150.30830532714</v>
      </c>
      <c r="D273" s="19">
        <f>C273*Finanzierung!$B$3/100/12</f>
        <v>1011.0674888142057</v>
      </c>
      <c r="E273" s="19">
        <f t="shared" si="39"/>
        <v>2188.9325111857947</v>
      </c>
      <c r="J273">
        <v>270</v>
      </c>
      <c r="K273" s="19">
        <f t="shared" si="36"/>
        <v>2240</v>
      </c>
      <c r="L273" s="19">
        <f t="shared" si="37"/>
        <v>757901.38411911717</v>
      </c>
      <c r="M273" s="19">
        <f>L273*Finanzierung!$B$3/100/12</f>
        <v>2021.0703576509788</v>
      </c>
      <c r="N273" s="19">
        <f t="shared" si="38"/>
        <v>218.92964234902115</v>
      </c>
      <c r="O273">
        <f>O272*(1+Finanzierung!$B$6/100/12)+$H$3</f>
        <v>546138.57649982662</v>
      </c>
      <c r="S273" s="22">
        <f t="shared" si="33"/>
        <v>22.5</v>
      </c>
      <c r="T273" s="19">
        <f t="shared" si="34"/>
        <v>-379150.30830532714</v>
      </c>
      <c r="U273" s="19">
        <f t="shared" si="35"/>
        <v>-211762.80761929054</v>
      </c>
    </row>
    <row r="274" spans="1:21" x14ac:dyDescent="0.2">
      <c r="A274">
        <v>271</v>
      </c>
      <c r="B274" s="19">
        <f>Finanzierung!$B$5</f>
        <v>3200.0000000000005</v>
      </c>
      <c r="C274" s="19">
        <f t="shared" si="32"/>
        <v>376961.37579414132</v>
      </c>
      <c r="D274" s="19">
        <f>C274*Finanzierung!$B$3/100/12</f>
        <v>1005.2303354510436</v>
      </c>
      <c r="E274" s="19">
        <f t="shared" si="39"/>
        <v>2194.7696645489568</v>
      </c>
      <c r="J274">
        <v>271</v>
      </c>
      <c r="K274" s="19">
        <f t="shared" si="36"/>
        <v>2240</v>
      </c>
      <c r="L274" s="19">
        <f t="shared" si="37"/>
        <v>757682.45447676815</v>
      </c>
      <c r="M274" s="19">
        <f>L274*Finanzierung!$B$3/100/12</f>
        <v>2020.4865452713818</v>
      </c>
      <c r="N274" s="19">
        <f t="shared" si="38"/>
        <v>219.51345472861817</v>
      </c>
      <c r="O274">
        <f>O273*(1+Finanzierung!$B$6/100/12)+$H$3</f>
        <v>549829.2693823257</v>
      </c>
      <c r="S274" s="22">
        <f t="shared" si="33"/>
        <v>22.583333333333332</v>
      </c>
      <c r="T274" s="19">
        <f t="shared" si="34"/>
        <v>-376961.37579414132</v>
      </c>
      <c r="U274" s="19">
        <f t="shared" si="35"/>
        <v>-207853.18509444245</v>
      </c>
    </row>
    <row r="275" spans="1:21" x14ac:dyDescent="0.2">
      <c r="A275">
        <v>272</v>
      </c>
      <c r="B275" s="19">
        <f>Finanzierung!$B$5</f>
        <v>3200.0000000000005</v>
      </c>
      <c r="C275" s="19">
        <f t="shared" si="32"/>
        <v>374766.60612959234</v>
      </c>
      <c r="D275" s="19">
        <f>C275*Finanzierung!$B$3/100/12</f>
        <v>999.37761634557955</v>
      </c>
      <c r="E275" s="19">
        <f t="shared" si="39"/>
        <v>2200.6223836544209</v>
      </c>
      <c r="J275">
        <v>272</v>
      </c>
      <c r="K275" s="19">
        <f t="shared" si="36"/>
        <v>2240</v>
      </c>
      <c r="L275" s="19">
        <f t="shared" si="37"/>
        <v>757462.94102203951</v>
      </c>
      <c r="M275" s="19">
        <f>L275*Finanzierung!$B$3/100/12</f>
        <v>2019.9011760587721</v>
      </c>
      <c r="N275" s="19">
        <f t="shared" si="38"/>
        <v>220.09882394122792</v>
      </c>
      <c r="O275">
        <f>O274*(1+Finanzierung!$B$6/100/12)+$H$3</f>
        <v>553538.41572923725</v>
      </c>
      <c r="S275" s="22">
        <f t="shared" si="33"/>
        <v>22.666666666666668</v>
      </c>
      <c r="T275" s="19">
        <f t="shared" si="34"/>
        <v>-374766.60612959234</v>
      </c>
      <c r="U275" s="19">
        <f t="shared" si="35"/>
        <v>-203924.52529280225</v>
      </c>
    </row>
    <row r="276" spans="1:21" x14ac:dyDescent="0.2">
      <c r="A276">
        <v>273</v>
      </c>
      <c r="B276" s="19">
        <f>Finanzierung!$B$5</f>
        <v>3200.0000000000005</v>
      </c>
      <c r="C276" s="19">
        <f t="shared" si="32"/>
        <v>372565.98374593793</v>
      </c>
      <c r="D276" s="19">
        <f>C276*Finanzierung!$B$3/100/12</f>
        <v>993.50928998916777</v>
      </c>
      <c r="E276" s="19">
        <f t="shared" si="39"/>
        <v>2206.4907100108326</v>
      </c>
      <c r="J276">
        <v>273</v>
      </c>
      <c r="K276" s="19">
        <f t="shared" si="36"/>
        <v>2240</v>
      </c>
      <c r="L276" s="19">
        <f t="shared" si="37"/>
        <v>757242.84219809831</v>
      </c>
      <c r="M276" s="19">
        <f>L276*Finanzierung!$B$3/100/12</f>
        <v>2019.3142458615957</v>
      </c>
      <c r="N276" s="19">
        <f t="shared" si="38"/>
        <v>220.68575413840426</v>
      </c>
      <c r="O276">
        <f>O275*(1+Finanzierung!$B$6/100/12)+$H$3</f>
        <v>557266.10780788341</v>
      </c>
      <c r="S276" s="22">
        <f t="shared" si="33"/>
        <v>22.75</v>
      </c>
      <c r="T276" s="19">
        <f t="shared" si="34"/>
        <v>-372565.98374593793</v>
      </c>
      <c r="U276" s="19">
        <f t="shared" si="35"/>
        <v>-199976.7343902149</v>
      </c>
    </row>
    <row r="277" spans="1:21" x14ac:dyDescent="0.2">
      <c r="A277">
        <v>274</v>
      </c>
      <c r="B277" s="19">
        <f>Finanzierung!$B$5</f>
        <v>3200.0000000000005</v>
      </c>
      <c r="C277" s="19">
        <f t="shared" si="32"/>
        <v>370359.49303592712</v>
      </c>
      <c r="D277" s="19">
        <f>C277*Finanzierung!$B$3/100/12</f>
        <v>987.62531476247239</v>
      </c>
      <c r="E277" s="19">
        <f t="shared" si="39"/>
        <v>2212.374685237528</v>
      </c>
      <c r="J277">
        <v>274</v>
      </c>
      <c r="K277" s="19">
        <f t="shared" si="36"/>
        <v>2240</v>
      </c>
      <c r="L277" s="19">
        <f t="shared" si="37"/>
        <v>757022.15644395992</v>
      </c>
      <c r="M277" s="19">
        <f>L277*Finanzierung!$B$3/100/12</f>
        <v>2018.7257505172265</v>
      </c>
      <c r="N277" s="19">
        <f t="shared" si="38"/>
        <v>221.27424948277348</v>
      </c>
      <c r="O277">
        <f>O276*(1+Finanzierung!$B$6/100/12)+$H$3</f>
        <v>561012.43834692275</v>
      </c>
      <c r="S277" s="22">
        <f t="shared" si="33"/>
        <v>22.833333333333332</v>
      </c>
      <c r="T277" s="19">
        <f t="shared" si="34"/>
        <v>-370359.49303592712</v>
      </c>
      <c r="U277" s="19">
        <f t="shared" si="35"/>
        <v>-196009.71809703717</v>
      </c>
    </row>
    <row r="278" spans="1:21" x14ac:dyDescent="0.2">
      <c r="A278">
        <v>275</v>
      </c>
      <c r="B278" s="19">
        <f>Finanzierung!$B$5</f>
        <v>3200.0000000000005</v>
      </c>
      <c r="C278" s="19">
        <f t="shared" si="32"/>
        <v>368147.11835068959</v>
      </c>
      <c r="D278" s="19">
        <f>C278*Finanzierung!$B$3/100/12</f>
        <v>981.72564893517244</v>
      </c>
      <c r="E278" s="19">
        <f t="shared" si="39"/>
        <v>2218.2743510648279</v>
      </c>
      <c r="J278">
        <v>275</v>
      </c>
      <c r="K278" s="19">
        <f t="shared" si="36"/>
        <v>2240</v>
      </c>
      <c r="L278" s="19">
        <f t="shared" si="37"/>
        <v>756800.88219447713</v>
      </c>
      <c r="M278" s="19">
        <f>L278*Finanzierung!$B$3/100/12</f>
        <v>2018.1356858519391</v>
      </c>
      <c r="N278" s="19">
        <f t="shared" si="38"/>
        <v>221.86431414806088</v>
      </c>
      <c r="O278">
        <f>O277*(1+Finanzierung!$B$6/100/12)+$H$3</f>
        <v>564777.5005386573</v>
      </c>
      <c r="S278" s="22">
        <f t="shared" si="33"/>
        <v>22.916666666666668</v>
      </c>
      <c r="T278" s="19">
        <f t="shared" si="34"/>
        <v>-368147.11835068959</v>
      </c>
      <c r="U278" s="19">
        <f t="shared" si="35"/>
        <v>-192023.38165581983</v>
      </c>
    </row>
    <row r="279" spans="1:21" x14ac:dyDescent="0.2">
      <c r="A279">
        <v>276</v>
      </c>
      <c r="B279" s="19">
        <f>Finanzierung!$B$5</f>
        <v>3200.0000000000005</v>
      </c>
      <c r="C279" s="19">
        <f t="shared" si="32"/>
        <v>365928.84399962478</v>
      </c>
      <c r="D279" s="19">
        <f>C279*Finanzierung!$B$3/100/12</f>
        <v>975.8102506656661</v>
      </c>
      <c r="E279" s="19">
        <f t="shared" si="39"/>
        <v>2224.1897493343345</v>
      </c>
      <c r="J279">
        <v>276</v>
      </c>
      <c r="K279" s="19">
        <f t="shared" si="36"/>
        <v>2240</v>
      </c>
      <c r="L279" s="19">
        <f t="shared" si="37"/>
        <v>756579.01788032905</v>
      </c>
      <c r="M279" s="19">
        <f>L279*Finanzierung!$B$3/100/12</f>
        <v>2017.5440476808774</v>
      </c>
      <c r="N279" s="19">
        <f t="shared" si="38"/>
        <v>222.45595231912262</v>
      </c>
      <c r="O279">
        <f>O278*(1+Finanzierung!$B$6/100/12)+$H$3</f>
        <v>568561.38804135052</v>
      </c>
      <c r="S279" s="22">
        <f t="shared" si="33"/>
        <v>23</v>
      </c>
      <c r="T279" s="19">
        <f t="shared" si="34"/>
        <v>-365928.84399962478</v>
      </c>
      <c r="U279" s="19">
        <f t="shared" si="35"/>
        <v>-188017.62983897852</v>
      </c>
    </row>
    <row r="280" spans="1:21" x14ac:dyDescent="0.2">
      <c r="A280">
        <v>277</v>
      </c>
      <c r="B280" s="19">
        <f>Finanzierung!$B$5</f>
        <v>3200.0000000000005</v>
      </c>
      <c r="C280" s="19">
        <f t="shared" si="32"/>
        <v>363704.65425029042</v>
      </c>
      <c r="D280" s="19">
        <f>C280*Finanzierung!$B$3/100/12</f>
        <v>969.87907800077437</v>
      </c>
      <c r="E280" s="19">
        <f t="shared" si="39"/>
        <v>2230.1209219992261</v>
      </c>
      <c r="J280">
        <v>277</v>
      </c>
      <c r="K280" s="19">
        <f t="shared" si="36"/>
        <v>2240</v>
      </c>
      <c r="L280" s="19">
        <f t="shared" si="37"/>
        <v>756356.56192800996</v>
      </c>
      <c r="M280" s="19">
        <f>L280*Finanzierung!$B$3/100/12</f>
        <v>2016.9508318080268</v>
      </c>
      <c r="N280" s="19">
        <f t="shared" si="38"/>
        <v>223.04916819197319</v>
      </c>
      <c r="O280">
        <f>O279*(1+Finanzierung!$B$6/100/12)+$H$3</f>
        <v>572364.1949815572</v>
      </c>
      <c r="S280" s="22">
        <f t="shared" si="33"/>
        <v>23.083333333333332</v>
      </c>
      <c r="T280" s="19">
        <f t="shared" si="34"/>
        <v>-363704.65425029042</v>
      </c>
      <c r="U280" s="19">
        <f t="shared" si="35"/>
        <v>-183992.36694645276</v>
      </c>
    </row>
    <row r="281" spans="1:21" x14ac:dyDescent="0.2">
      <c r="A281">
        <v>278</v>
      </c>
      <c r="B281" s="19">
        <f>Finanzierung!$B$5</f>
        <v>3200.0000000000005</v>
      </c>
      <c r="C281" s="19">
        <f t="shared" si="32"/>
        <v>361474.5333282912</v>
      </c>
      <c r="D281" s="19">
        <f>C281*Finanzierung!$B$3/100/12</f>
        <v>963.93208887544324</v>
      </c>
      <c r="E281" s="19">
        <f t="shared" si="39"/>
        <v>2236.0679111245572</v>
      </c>
      <c r="J281">
        <v>278</v>
      </c>
      <c r="K281" s="19">
        <f t="shared" si="36"/>
        <v>2240</v>
      </c>
      <c r="L281" s="19">
        <f t="shared" si="37"/>
        <v>756133.512759818</v>
      </c>
      <c r="M281" s="19">
        <f>L281*Finanzierung!$B$3/100/12</f>
        <v>2016.3560340261813</v>
      </c>
      <c r="N281" s="19">
        <f t="shared" si="38"/>
        <v>223.64396597381869</v>
      </c>
      <c r="O281">
        <f>O280*(1+Finanzierung!$B$6/100/12)+$H$3</f>
        <v>576186.01595646492</v>
      </c>
      <c r="S281" s="22">
        <f t="shared" si="33"/>
        <v>23.166666666666668</v>
      </c>
      <c r="T281" s="19">
        <f t="shared" si="34"/>
        <v>-361474.5333282912</v>
      </c>
      <c r="U281" s="19">
        <f t="shared" si="35"/>
        <v>-179947.49680335307</v>
      </c>
    </row>
    <row r="282" spans="1:21" x14ac:dyDescent="0.2">
      <c r="A282">
        <v>279</v>
      </c>
      <c r="B282" s="19">
        <f>Finanzierung!$B$5</f>
        <v>3200.0000000000005</v>
      </c>
      <c r="C282" s="19">
        <f t="shared" si="32"/>
        <v>359238.46541716665</v>
      </c>
      <c r="D282" s="19">
        <f>C282*Finanzierung!$B$3/100/12</f>
        <v>957.96924111244437</v>
      </c>
      <c r="E282" s="19">
        <f t="shared" si="39"/>
        <v>2242.0307588875562</v>
      </c>
      <c r="J282">
        <v>279</v>
      </c>
      <c r="K282" s="19">
        <f t="shared" si="36"/>
        <v>2240</v>
      </c>
      <c r="L282" s="19">
        <f t="shared" si="37"/>
        <v>755909.86879384413</v>
      </c>
      <c r="M282" s="19">
        <f>L282*Finanzierung!$B$3/100/12</f>
        <v>2015.759650116918</v>
      </c>
      <c r="N282" s="19">
        <f t="shared" si="38"/>
        <v>224.24034988308199</v>
      </c>
      <c r="O282">
        <f>O281*(1+Finanzierung!$B$6/100/12)+$H$3</f>
        <v>580026.94603624719</v>
      </c>
      <c r="S282" s="22">
        <f t="shared" si="33"/>
        <v>23.25</v>
      </c>
      <c r="T282" s="19">
        <f t="shared" si="34"/>
        <v>-359238.46541716665</v>
      </c>
      <c r="U282" s="19">
        <f t="shared" si="35"/>
        <v>-175882.92275759694</v>
      </c>
    </row>
    <row r="283" spans="1:21" x14ac:dyDescent="0.2">
      <c r="A283">
        <v>280</v>
      </c>
      <c r="B283" s="19">
        <f>Finanzierung!$B$5</f>
        <v>3200.0000000000005</v>
      </c>
      <c r="C283" s="19">
        <f t="shared" si="32"/>
        <v>356996.43465827912</v>
      </c>
      <c r="D283" s="19">
        <f>C283*Finanzierung!$B$3/100/12</f>
        <v>951.99049242207764</v>
      </c>
      <c r="E283" s="19">
        <f t="shared" si="39"/>
        <v>2248.0095075779227</v>
      </c>
      <c r="J283">
        <v>280</v>
      </c>
      <c r="K283" s="19">
        <f t="shared" si="36"/>
        <v>2240</v>
      </c>
      <c r="L283" s="19">
        <f t="shared" si="37"/>
        <v>755685.62844396103</v>
      </c>
      <c r="M283" s="19">
        <f>L283*Finanzierung!$B$3/100/12</f>
        <v>2015.1616758505627</v>
      </c>
      <c r="N283" s="19">
        <f t="shared" si="38"/>
        <v>224.83832414943731</v>
      </c>
      <c r="O283">
        <f>O282*(1+Finanzierung!$B$6/100/12)+$H$3</f>
        <v>583887.08076642838</v>
      </c>
      <c r="S283" s="22">
        <f t="shared" si="33"/>
        <v>23.333333333333332</v>
      </c>
      <c r="T283" s="19">
        <f t="shared" si="34"/>
        <v>-356996.43465827912</v>
      </c>
      <c r="U283" s="19">
        <f t="shared" si="35"/>
        <v>-171798.54767753265</v>
      </c>
    </row>
    <row r="284" spans="1:21" x14ac:dyDescent="0.2">
      <c r="A284">
        <v>281</v>
      </c>
      <c r="B284" s="19">
        <f>Finanzierung!$B$5</f>
        <v>3200.0000000000005</v>
      </c>
      <c r="C284" s="19">
        <f t="shared" si="32"/>
        <v>354748.42515070119</v>
      </c>
      <c r="D284" s="19">
        <f>C284*Finanzierung!$B$3/100/12</f>
        <v>945.99580040186993</v>
      </c>
      <c r="E284" s="19">
        <f t="shared" si="39"/>
        <v>2254.0041995981305</v>
      </c>
      <c r="J284">
        <v>281</v>
      </c>
      <c r="K284" s="19">
        <f t="shared" si="36"/>
        <v>2240</v>
      </c>
      <c r="L284" s="19">
        <f t="shared" si="37"/>
        <v>755460.79011981154</v>
      </c>
      <c r="M284" s="19">
        <f>L284*Finanzierung!$B$3/100/12</f>
        <v>2014.5621069861643</v>
      </c>
      <c r="N284" s="19">
        <f t="shared" si="38"/>
        <v>225.43789301383572</v>
      </c>
      <c r="O284">
        <f>O283*(1+Finanzierung!$B$6/100/12)+$H$3</f>
        <v>587766.5161702605</v>
      </c>
      <c r="S284" s="22">
        <f t="shared" si="33"/>
        <v>23.416666666666668</v>
      </c>
      <c r="T284" s="19">
        <f t="shared" si="34"/>
        <v>-354748.42515070119</v>
      </c>
      <c r="U284" s="19">
        <f t="shared" si="35"/>
        <v>-167694.27394955105</v>
      </c>
    </row>
    <row r="285" spans="1:21" x14ac:dyDescent="0.2">
      <c r="A285">
        <v>282</v>
      </c>
      <c r="B285" s="19">
        <f>Finanzierung!$B$5</f>
        <v>3200.0000000000005</v>
      </c>
      <c r="C285" s="19">
        <f t="shared" si="32"/>
        <v>352494.42095110303</v>
      </c>
      <c r="D285" s="19">
        <f>C285*Finanzierung!$B$3/100/12</f>
        <v>939.98512253627462</v>
      </c>
      <c r="E285" s="19">
        <f t="shared" si="39"/>
        <v>2260.014877463726</v>
      </c>
      <c r="J285">
        <v>282</v>
      </c>
      <c r="K285" s="19">
        <f t="shared" si="36"/>
        <v>2240</v>
      </c>
      <c r="L285" s="19">
        <f t="shared" si="37"/>
        <v>755235.35222679772</v>
      </c>
      <c r="M285" s="19">
        <f>L285*Finanzierung!$B$3/100/12</f>
        <v>2013.9609392714603</v>
      </c>
      <c r="N285" s="19">
        <f t="shared" si="38"/>
        <v>226.03906072853965</v>
      </c>
      <c r="O285">
        <f>O284*(1+Finanzierung!$B$6/100/12)+$H$3</f>
        <v>591665.34875111177</v>
      </c>
      <c r="S285" s="22">
        <f t="shared" si="33"/>
        <v>23.5</v>
      </c>
      <c r="T285" s="19">
        <f t="shared" si="34"/>
        <v>-352494.42095110303</v>
      </c>
      <c r="U285" s="19">
        <f t="shared" si="35"/>
        <v>-163570.00347568595</v>
      </c>
    </row>
    <row r="286" spans="1:21" x14ac:dyDescent="0.2">
      <c r="A286">
        <v>283</v>
      </c>
      <c r="B286" s="19">
        <f>Finanzierung!$B$5</f>
        <v>3200.0000000000005</v>
      </c>
      <c r="C286" s="19">
        <f t="shared" si="32"/>
        <v>350234.40607363929</v>
      </c>
      <c r="D286" s="19">
        <f>C286*Finanzierung!$B$3/100/12</f>
        <v>933.95841619637156</v>
      </c>
      <c r="E286" s="19">
        <f t="shared" si="39"/>
        <v>2266.0415838036288</v>
      </c>
      <c r="J286">
        <v>283</v>
      </c>
      <c r="K286" s="19">
        <f t="shared" si="36"/>
        <v>2240</v>
      </c>
      <c r="L286" s="19">
        <f t="shared" si="37"/>
        <v>755009.31316606922</v>
      </c>
      <c r="M286" s="19">
        <f>L286*Finanzierung!$B$3/100/12</f>
        <v>2013.3581684428511</v>
      </c>
      <c r="N286" s="19">
        <f t="shared" si="38"/>
        <v>226.64183155714886</v>
      </c>
      <c r="O286">
        <f>O285*(1+Finanzierung!$B$6/100/12)+$H$3</f>
        <v>595583.67549486726</v>
      </c>
      <c r="S286" s="22">
        <f t="shared" si="33"/>
        <v>23.583333333333332</v>
      </c>
      <c r="T286" s="19">
        <f t="shared" si="34"/>
        <v>-350234.40607363929</v>
      </c>
      <c r="U286" s="19">
        <f t="shared" si="35"/>
        <v>-159425.63767120196</v>
      </c>
    </row>
    <row r="287" spans="1:21" x14ac:dyDescent="0.2">
      <c r="A287">
        <v>284</v>
      </c>
      <c r="B287" s="19">
        <f>Finanzierung!$B$5</f>
        <v>3200.0000000000005</v>
      </c>
      <c r="C287" s="19">
        <f t="shared" si="32"/>
        <v>347968.36448983563</v>
      </c>
      <c r="D287" s="19">
        <f>C287*Finanzierung!$B$3/100/12</f>
        <v>927.91563863956173</v>
      </c>
      <c r="E287" s="19">
        <f t="shared" si="39"/>
        <v>2272.0843613604388</v>
      </c>
      <c r="J287">
        <v>284</v>
      </c>
      <c r="K287" s="19">
        <f t="shared" si="36"/>
        <v>2240</v>
      </c>
      <c r="L287" s="19">
        <f t="shared" si="37"/>
        <v>754782.67133451207</v>
      </c>
      <c r="M287" s="19">
        <f>L287*Finanzierung!$B$3/100/12</f>
        <v>2012.7537902253655</v>
      </c>
      <c r="N287" s="19">
        <f t="shared" si="38"/>
        <v>227.24620977463451</v>
      </c>
      <c r="O287">
        <f>O286*(1+Finanzierung!$B$6/100/12)+$H$3</f>
        <v>599521.59387234156</v>
      </c>
      <c r="S287" s="22">
        <f t="shared" si="33"/>
        <v>23.666666666666668</v>
      </c>
      <c r="T287" s="19">
        <f t="shared" si="34"/>
        <v>-347968.36448983563</v>
      </c>
      <c r="U287" s="19">
        <f t="shared" si="35"/>
        <v>-155261.07746217051</v>
      </c>
    </row>
    <row r="288" spans="1:21" x14ac:dyDescent="0.2">
      <c r="A288">
        <v>285</v>
      </c>
      <c r="B288" s="19">
        <f>Finanzierung!$B$5</f>
        <v>3200.0000000000005</v>
      </c>
      <c r="C288" s="19">
        <f t="shared" si="32"/>
        <v>345696.28012847516</v>
      </c>
      <c r="D288" s="19">
        <f>C288*Finanzierung!$B$3/100/12</f>
        <v>921.85674700926711</v>
      </c>
      <c r="E288" s="19">
        <f t="shared" si="39"/>
        <v>2278.1432529907333</v>
      </c>
      <c r="J288">
        <v>285</v>
      </c>
      <c r="K288" s="19">
        <f t="shared" si="36"/>
        <v>2240</v>
      </c>
      <c r="L288" s="19">
        <f t="shared" si="37"/>
        <v>754555.42512473743</v>
      </c>
      <c r="M288" s="19">
        <f>L288*Finanzierung!$B$3/100/12</f>
        <v>2012.1478003326336</v>
      </c>
      <c r="N288" s="19">
        <f t="shared" si="38"/>
        <v>227.85219966736645</v>
      </c>
      <c r="O288">
        <f>O287*(1+Finanzierung!$B$6/100/12)+$H$3</f>
        <v>603479.20184170315</v>
      </c>
      <c r="S288" s="22">
        <f t="shared" si="33"/>
        <v>23.75</v>
      </c>
      <c r="T288" s="19">
        <f t="shared" si="34"/>
        <v>-345696.28012847516</v>
      </c>
      <c r="U288" s="19">
        <f t="shared" si="35"/>
        <v>-151076.22328303428</v>
      </c>
    </row>
    <row r="289" spans="1:21" x14ac:dyDescent="0.2">
      <c r="A289">
        <v>286</v>
      </c>
      <c r="B289" s="19">
        <f>Finanzierung!$B$5</f>
        <v>3200.0000000000005</v>
      </c>
      <c r="C289" s="19">
        <f t="shared" si="32"/>
        <v>343418.13687548443</v>
      </c>
      <c r="D289" s="19">
        <f>C289*Finanzierung!$B$3/100/12</f>
        <v>915.78169833462516</v>
      </c>
      <c r="E289" s="19">
        <f t="shared" si="39"/>
        <v>2284.2183016653753</v>
      </c>
      <c r="J289">
        <v>286</v>
      </c>
      <c r="K289" s="19">
        <f t="shared" si="36"/>
        <v>2240</v>
      </c>
      <c r="L289" s="19">
        <f t="shared" si="37"/>
        <v>754327.57292507007</v>
      </c>
      <c r="M289" s="19">
        <f>L289*Finanzierung!$B$3/100/12</f>
        <v>2011.5401944668538</v>
      </c>
      <c r="N289" s="19">
        <f t="shared" si="38"/>
        <v>228.45980553314621</v>
      </c>
      <c r="O289">
        <f>O288*(1+Finanzierung!$B$6/100/12)+$H$3</f>
        <v>607456.59785091155</v>
      </c>
      <c r="S289" s="22">
        <f t="shared" si="33"/>
        <v>23.833333333333332</v>
      </c>
      <c r="T289" s="19">
        <f t="shared" si="34"/>
        <v>-343418.13687548443</v>
      </c>
      <c r="U289" s="19">
        <f t="shared" si="35"/>
        <v>-146870.97507415852</v>
      </c>
    </row>
    <row r="290" spans="1:21" x14ac:dyDescent="0.2">
      <c r="A290">
        <v>287</v>
      </c>
      <c r="B290" s="19">
        <f>Finanzierung!$B$5</f>
        <v>3200.0000000000005</v>
      </c>
      <c r="C290" s="19">
        <f t="shared" si="32"/>
        <v>341133.91857381904</v>
      </c>
      <c r="D290" s="19">
        <f>C290*Finanzierung!$B$3/100/12</f>
        <v>909.69044953018408</v>
      </c>
      <c r="E290" s="19">
        <f t="shared" si="39"/>
        <v>2290.3095504698163</v>
      </c>
      <c r="J290">
        <v>287</v>
      </c>
      <c r="K290" s="19">
        <f t="shared" si="36"/>
        <v>2240</v>
      </c>
      <c r="L290" s="19">
        <f t="shared" si="37"/>
        <v>754099.11311953689</v>
      </c>
      <c r="M290" s="19">
        <f>L290*Finanzierung!$B$3/100/12</f>
        <v>2010.9309683187651</v>
      </c>
      <c r="N290" s="19">
        <f t="shared" si="38"/>
        <v>229.06903168123495</v>
      </c>
      <c r="O290">
        <f>O289*(1+Finanzierung!$B$6/100/12)+$H$3</f>
        <v>611453.88084016601</v>
      </c>
      <c r="S290" s="22">
        <f t="shared" si="33"/>
        <v>23.916666666666668</v>
      </c>
      <c r="T290" s="19">
        <f t="shared" si="34"/>
        <v>-341133.91857381904</v>
      </c>
      <c r="U290" s="19">
        <f t="shared" si="35"/>
        <v>-142645.23227937089</v>
      </c>
    </row>
    <row r="291" spans="1:21" x14ac:dyDescent="0.2">
      <c r="A291">
        <v>288</v>
      </c>
      <c r="B291" s="19">
        <f>Finanzierung!$B$5</f>
        <v>3200.0000000000005</v>
      </c>
      <c r="C291" s="19">
        <f t="shared" si="32"/>
        <v>338843.60902334924</v>
      </c>
      <c r="D291" s="19">
        <f>C291*Finanzierung!$B$3/100/12</f>
        <v>903.58295739559799</v>
      </c>
      <c r="E291" s="19">
        <f t="shared" si="39"/>
        <v>2296.4170426044025</v>
      </c>
      <c r="J291">
        <v>288</v>
      </c>
      <c r="K291" s="19">
        <f t="shared" si="36"/>
        <v>2240</v>
      </c>
      <c r="L291" s="19">
        <f t="shared" si="37"/>
        <v>753870.04408785561</v>
      </c>
      <c r="M291" s="19">
        <f>L291*Finanzierung!$B$3/100/12</f>
        <v>2010.3201175676149</v>
      </c>
      <c r="N291" s="19">
        <f t="shared" si="38"/>
        <v>229.67988243238506</v>
      </c>
      <c r="O291">
        <f>O290*(1+Finanzierung!$B$6/100/12)+$H$3</f>
        <v>615471.15024436673</v>
      </c>
      <c r="S291" s="22">
        <f t="shared" si="33"/>
        <v>24</v>
      </c>
      <c r="T291" s="19">
        <f t="shared" si="34"/>
        <v>-338843.60902334924</v>
      </c>
      <c r="U291" s="19">
        <f t="shared" si="35"/>
        <v>-138398.89384348888</v>
      </c>
    </row>
    <row r="292" spans="1:21" x14ac:dyDescent="0.2">
      <c r="A292">
        <v>289</v>
      </c>
      <c r="B292" s="19">
        <f>Finanzierung!$B$5</f>
        <v>3200.0000000000005</v>
      </c>
      <c r="C292" s="19">
        <f t="shared" si="32"/>
        <v>336547.19198074483</v>
      </c>
      <c r="D292" s="19">
        <f>C292*Finanzierung!$B$3/100/12</f>
        <v>897.45917861531962</v>
      </c>
      <c r="E292" s="19">
        <f t="shared" si="39"/>
        <v>2302.5408213846808</v>
      </c>
      <c r="J292">
        <v>289</v>
      </c>
      <c r="K292" s="19">
        <f t="shared" si="36"/>
        <v>2240</v>
      </c>
      <c r="L292" s="19">
        <f t="shared" si="37"/>
        <v>753640.36420542328</v>
      </c>
      <c r="M292" s="19">
        <f>L292*Finanzierung!$B$3/100/12</f>
        <v>2009.7076378811287</v>
      </c>
      <c r="N292" s="19">
        <f t="shared" si="38"/>
        <v>230.29236211887132</v>
      </c>
      <c r="O292">
        <f>O291*(1+Finanzierung!$B$6/100/12)+$H$3</f>
        <v>619508.50599558849</v>
      </c>
      <c r="S292" s="22">
        <f t="shared" si="33"/>
        <v>24.083333333333332</v>
      </c>
      <c r="T292" s="19">
        <f t="shared" si="34"/>
        <v>-336547.19198074483</v>
      </c>
      <c r="U292" s="19">
        <f t="shared" si="35"/>
        <v>-134131.85820983478</v>
      </c>
    </row>
    <row r="293" spans="1:21" x14ac:dyDescent="0.2">
      <c r="A293">
        <v>290</v>
      </c>
      <c r="B293" s="19">
        <f>Finanzierung!$B$5</f>
        <v>3200.0000000000005</v>
      </c>
      <c r="C293" s="19">
        <f t="shared" si="32"/>
        <v>334244.65115936013</v>
      </c>
      <c r="D293" s="19">
        <f>C293*Finanzierung!$B$3/100/12</f>
        <v>891.31906975829372</v>
      </c>
      <c r="E293" s="19">
        <f t="shared" si="39"/>
        <v>2308.6809302417068</v>
      </c>
      <c r="J293">
        <v>290</v>
      </c>
      <c r="K293" s="19">
        <f t="shared" si="36"/>
        <v>2240</v>
      </c>
      <c r="L293" s="19">
        <f t="shared" si="37"/>
        <v>753410.07184330444</v>
      </c>
      <c r="M293" s="19">
        <f>L293*Finanzierung!$B$3/100/12</f>
        <v>2009.0935249154784</v>
      </c>
      <c r="N293" s="19">
        <f t="shared" si="38"/>
        <v>230.90647508452162</v>
      </c>
      <c r="O293">
        <f>O292*(1+Finanzierung!$B$6/100/12)+$H$3</f>
        <v>623566.04852556635</v>
      </c>
      <c r="S293" s="22">
        <f t="shared" si="33"/>
        <v>24.166666666666668</v>
      </c>
      <c r="T293" s="19">
        <f t="shared" si="34"/>
        <v>-334244.65115936013</v>
      </c>
      <c r="U293" s="19">
        <f t="shared" si="35"/>
        <v>-129844.02331773809</v>
      </c>
    </row>
    <row r="294" spans="1:21" x14ac:dyDescent="0.2">
      <c r="A294">
        <v>291</v>
      </c>
      <c r="B294" s="19">
        <f>Finanzierung!$B$5</f>
        <v>3200.0000000000005</v>
      </c>
      <c r="C294" s="19">
        <f t="shared" si="32"/>
        <v>331935.97022911842</v>
      </c>
      <c r="D294" s="19">
        <f>C294*Finanzierung!$B$3/100/12</f>
        <v>885.16258727764932</v>
      </c>
      <c r="E294" s="19">
        <f t="shared" si="39"/>
        <v>2314.837412722351</v>
      </c>
      <c r="J294">
        <v>291</v>
      </c>
      <c r="K294" s="19">
        <f t="shared" si="36"/>
        <v>2240</v>
      </c>
      <c r="L294" s="19">
        <f t="shared" si="37"/>
        <v>753179.16536821995</v>
      </c>
      <c r="M294" s="19">
        <f>L294*Finanzierung!$B$3/100/12</f>
        <v>2008.4777743152533</v>
      </c>
      <c r="N294" s="19">
        <f t="shared" si="38"/>
        <v>231.52222568474667</v>
      </c>
      <c r="O294">
        <f>O293*(1+Finanzierung!$B$6/100/12)+$H$3</f>
        <v>627643.87876819412</v>
      </c>
      <c r="S294" s="22">
        <f t="shared" si="33"/>
        <v>24.25</v>
      </c>
      <c r="T294" s="19">
        <f t="shared" si="34"/>
        <v>-331935.97022911842</v>
      </c>
      <c r="U294" s="19">
        <f t="shared" si="35"/>
        <v>-125535.28660002584</v>
      </c>
    </row>
    <row r="295" spans="1:21" x14ac:dyDescent="0.2">
      <c r="A295">
        <v>292</v>
      </c>
      <c r="B295" s="19">
        <f>Finanzierung!$B$5</f>
        <v>3200.0000000000005</v>
      </c>
      <c r="C295" s="19">
        <f t="shared" si="32"/>
        <v>329621.13281639607</v>
      </c>
      <c r="D295" s="19">
        <f>C295*Finanzierung!$B$3/100/12</f>
        <v>878.98968751038956</v>
      </c>
      <c r="E295" s="19">
        <f t="shared" si="39"/>
        <v>2321.0103124896109</v>
      </c>
      <c r="J295">
        <v>292</v>
      </c>
      <c r="K295" s="19">
        <f t="shared" si="36"/>
        <v>2240</v>
      </c>
      <c r="L295" s="19">
        <f t="shared" si="37"/>
        <v>752947.64314253523</v>
      </c>
      <c r="M295" s="19">
        <f>L295*Finanzierung!$B$3/100/12</f>
        <v>2007.8603817134272</v>
      </c>
      <c r="N295" s="19">
        <f t="shared" si="38"/>
        <v>232.13961828657284</v>
      </c>
      <c r="O295">
        <f>O294*(1+Finanzierung!$B$6/100/12)+$H$3</f>
        <v>631742.09816203499</v>
      </c>
      <c r="S295" s="22">
        <f t="shared" si="33"/>
        <v>24.333333333333332</v>
      </c>
      <c r="T295" s="19">
        <f t="shared" si="34"/>
        <v>-329621.13281639607</v>
      </c>
      <c r="U295" s="19">
        <f t="shared" si="35"/>
        <v>-121205.54498050024</v>
      </c>
    </row>
    <row r="296" spans="1:21" x14ac:dyDescent="0.2">
      <c r="A296">
        <v>293</v>
      </c>
      <c r="B296" s="19">
        <f>Finanzierung!$B$5</f>
        <v>3200.0000000000005</v>
      </c>
      <c r="C296" s="19">
        <f t="shared" si="32"/>
        <v>327300.12250390649</v>
      </c>
      <c r="D296" s="19">
        <f>C296*Finanzierung!$B$3/100/12</f>
        <v>872.80032667708394</v>
      </c>
      <c r="E296" s="19">
        <f t="shared" si="39"/>
        <v>2327.1996733229166</v>
      </c>
      <c r="J296">
        <v>293</v>
      </c>
      <c r="K296" s="19">
        <f t="shared" si="36"/>
        <v>2240</v>
      </c>
      <c r="L296" s="19">
        <f t="shared" si="37"/>
        <v>752715.5035242486</v>
      </c>
      <c r="M296" s="19">
        <f>L296*Finanzierung!$B$3/100/12</f>
        <v>2007.2413427313297</v>
      </c>
      <c r="N296" s="19">
        <f t="shared" si="38"/>
        <v>232.75865726867028</v>
      </c>
      <c r="O296">
        <f>O295*(1+Finanzierung!$B$6/100/12)+$H$3</f>
        <v>635860.80865284509</v>
      </c>
      <c r="S296" s="22">
        <f t="shared" si="33"/>
        <v>24.416666666666668</v>
      </c>
      <c r="T296" s="19">
        <f t="shared" si="34"/>
        <v>-327300.12250390649</v>
      </c>
      <c r="U296" s="19">
        <f t="shared" si="35"/>
        <v>-116854.69487140351</v>
      </c>
    </row>
    <row r="297" spans="1:21" x14ac:dyDescent="0.2">
      <c r="A297">
        <v>294</v>
      </c>
      <c r="B297" s="19">
        <f>Finanzierung!$B$5</f>
        <v>3200.0000000000005</v>
      </c>
      <c r="C297" s="19">
        <f t="shared" si="32"/>
        <v>324972.92283058359</v>
      </c>
      <c r="D297" s="19">
        <f>C297*Finanzierung!$B$3/100/12</f>
        <v>866.59446088155619</v>
      </c>
      <c r="E297" s="19">
        <f t="shared" si="39"/>
        <v>2333.4055391184443</v>
      </c>
      <c r="J297">
        <v>294</v>
      </c>
      <c r="K297" s="19">
        <f t="shared" si="36"/>
        <v>2240</v>
      </c>
      <c r="L297" s="19">
        <f t="shared" si="37"/>
        <v>752482.74486697989</v>
      </c>
      <c r="M297" s="19">
        <f>L297*Finanzierung!$B$3/100/12</f>
        <v>2006.6206529786132</v>
      </c>
      <c r="N297" s="19">
        <f t="shared" si="38"/>
        <v>233.37934702138682</v>
      </c>
      <c r="O297">
        <f>O296*(1+Finanzierung!$B$6/100/12)+$H$3</f>
        <v>640000.11269610922</v>
      </c>
      <c r="S297" s="22">
        <f t="shared" si="33"/>
        <v>24.5</v>
      </c>
      <c r="T297" s="19">
        <f t="shared" si="34"/>
        <v>-324972.92283058359</v>
      </c>
      <c r="U297" s="19">
        <f t="shared" si="35"/>
        <v>-112482.63217087067</v>
      </c>
    </row>
    <row r="298" spans="1:21" x14ac:dyDescent="0.2">
      <c r="A298">
        <v>295</v>
      </c>
      <c r="B298" s="19">
        <f>Finanzierung!$B$5</f>
        <v>3200.0000000000005</v>
      </c>
      <c r="C298" s="19">
        <f t="shared" si="32"/>
        <v>322639.51729146513</v>
      </c>
      <c r="D298" s="19">
        <f>C298*Finanzierung!$B$3/100/12</f>
        <v>860.37204611057371</v>
      </c>
      <c r="E298" s="19">
        <f t="shared" si="39"/>
        <v>2339.6279538894269</v>
      </c>
      <c r="J298">
        <v>295</v>
      </c>
      <c r="K298" s="19">
        <f t="shared" si="36"/>
        <v>2240</v>
      </c>
      <c r="L298" s="19">
        <f t="shared" si="37"/>
        <v>752249.36551995855</v>
      </c>
      <c r="M298" s="19">
        <f>L298*Finanzierung!$B$3/100/12</f>
        <v>2005.9983080532227</v>
      </c>
      <c r="N298" s="19">
        <f t="shared" si="38"/>
        <v>234.00169194677733</v>
      </c>
      <c r="O298">
        <f>O297*(1+Finanzierung!$B$6/100/12)+$H$3</f>
        <v>644160.11325958965</v>
      </c>
      <c r="S298" s="22">
        <f t="shared" si="33"/>
        <v>24.583333333333332</v>
      </c>
      <c r="T298" s="19">
        <f t="shared" si="34"/>
        <v>-322639.51729146513</v>
      </c>
      <c r="U298" s="19">
        <f t="shared" si="35"/>
        <v>-108089.2522603689</v>
      </c>
    </row>
    <row r="299" spans="1:21" x14ac:dyDescent="0.2">
      <c r="A299">
        <v>296</v>
      </c>
      <c r="B299" s="19">
        <f>Finanzierung!$B$5</f>
        <v>3200.0000000000005</v>
      </c>
      <c r="C299" s="19">
        <f t="shared" si="32"/>
        <v>320299.8893375757</v>
      </c>
      <c r="D299" s="19">
        <f>C299*Finanzierung!$B$3/100/12</f>
        <v>854.13303823353533</v>
      </c>
      <c r="E299" s="19">
        <f t="shared" si="39"/>
        <v>2345.866961766465</v>
      </c>
      <c r="J299">
        <v>296</v>
      </c>
      <c r="K299" s="19">
        <f t="shared" si="36"/>
        <v>2240</v>
      </c>
      <c r="L299" s="19">
        <f t="shared" si="37"/>
        <v>752015.36382801179</v>
      </c>
      <c r="M299" s="19">
        <f>L299*Finanzierung!$B$3/100/12</f>
        <v>2005.3743035413647</v>
      </c>
      <c r="N299" s="19">
        <f t="shared" si="38"/>
        <v>234.62569645863528</v>
      </c>
      <c r="O299">
        <f>O298*(1+Finanzierung!$B$6/100/12)+$H$3</f>
        <v>648340.91382588749</v>
      </c>
      <c r="S299" s="22">
        <f t="shared" si="33"/>
        <v>24.666666666666668</v>
      </c>
      <c r="T299" s="19">
        <f t="shared" si="34"/>
        <v>-320299.8893375757</v>
      </c>
      <c r="U299" s="19">
        <f t="shared" si="35"/>
        <v>-103674.4500021243</v>
      </c>
    </row>
    <row r="300" spans="1:21" x14ac:dyDescent="0.2">
      <c r="A300">
        <v>297</v>
      </c>
      <c r="B300" s="19">
        <f>Finanzierung!$B$5</f>
        <v>3200.0000000000005</v>
      </c>
      <c r="C300" s="19">
        <f t="shared" si="32"/>
        <v>317954.02237580926</v>
      </c>
      <c r="D300" s="19">
        <f>C300*Finanzierung!$B$3/100/12</f>
        <v>847.8773930021581</v>
      </c>
      <c r="E300" s="19">
        <f t="shared" si="39"/>
        <v>2352.1226069978425</v>
      </c>
      <c r="J300">
        <v>297</v>
      </c>
      <c r="K300" s="19">
        <f t="shared" si="36"/>
        <v>2240</v>
      </c>
      <c r="L300" s="19">
        <f t="shared" si="37"/>
        <v>751780.73813155317</v>
      </c>
      <c r="M300" s="19">
        <f>L300*Finanzierung!$B$3/100/12</f>
        <v>2004.7486350174752</v>
      </c>
      <c r="N300" s="19">
        <f t="shared" si="38"/>
        <v>235.25136498252482</v>
      </c>
      <c r="O300">
        <f>O299*(1+Finanzierung!$B$6/100/12)+$H$3</f>
        <v>652542.61839501688</v>
      </c>
      <c r="S300" s="22">
        <f t="shared" si="33"/>
        <v>24.75</v>
      </c>
      <c r="T300" s="19">
        <f t="shared" si="34"/>
        <v>-317954.02237580926</v>
      </c>
      <c r="U300" s="19">
        <f t="shared" si="35"/>
        <v>-99238.11973653629</v>
      </c>
    </row>
    <row r="301" spans="1:21" x14ac:dyDescent="0.2">
      <c r="A301">
        <v>298</v>
      </c>
      <c r="B301" s="19">
        <f>Finanzierung!$B$5</f>
        <v>3200.0000000000005</v>
      </c>
      <c r="C301" s="19">
        <f t="shared" si="32"/>
        <v>315601.89976881142</v>
      </c>
      <c r="D301" s="19">
        <f>C301*Finanzierung!$B$3/100/12</f>
        <v>841.60506605016371</v>
      </c>
      <c r="E301" s="19">
        <f t="shared" si="39"/>
        <v>2358.3949339498367</v>
      </c>
      <c r="J301">
        <v>298</v>
      </c>
      <c r="K301" s="19">
        <f t="shared" si="36"/>
        <v>2240</v>
      </c>
      <c r="L301" s="19">
        <f t="shared" si="37"/>
        <v>751545.4867665706</v>
      </c>
      <c r="M301" s="19">
        <f>L301*Finanzierung!$B$3/100/12</f>
        <v>2004.1212980441885</v>
      </c>
      <c r="N301" s="19">
        <f t="shared" si="38"/>
        <v>235.87870195581149</v>
      </c>
      <c r="O301">
        <f>O300*(1+Finanzierung!$B$6/100/12)+$H$3</f>
        <v>656765.33148699184</v>
      </c>
      <c r="S301" s="22">
        <f t="shared" si="33"/>
        <v>24.833333333333332</v>
      </c>
      <c r="T301" s="19">
        <f t="shared" si="34"/>
        <v>-315601.89976881142</v>
      </c>
      <c r="U301" s="19">
        <f t="shared" si="35"/>
        <v>-94780.155279578757</v>
      </c>
    </row>
    <row r="302" spans="1:21" x14ac:dyDescent="0.2">
      <c r="A302">
        <v>299</v>
      </c>
      <c r="B302" s="19">
        <f>Finanzierung!$B$5</f>
        <v>3200.0000000000005</v>
      </c>
      <c r="C302" s="19">
        <f t="shared" si="32"/>
        <v>313243.50483486155</v>
      </c>
      <c r="D302" s="19">
        <f>C302*Finanzierung!$B$3/100/12</f>
        <v>835.31601289296407</v>
      </c>
      <c r="E302" s="19">
        <f t="shared" si="39"/>
        <v>2364.6839871070365</v>
      </c>
      <c r="J302">
        <v>299</v>
      </c>
      <c r="K302" s="19">
        <f t="shared" si="36"/>
        <v>2240</v>
      </c>
      <c r="L302" s="19">
        <f t="shared" si="37"/>
        <v>751309.60806461482</v>
      </c>
      <c r="M302" s="19">
        <f>L302*Finanzierung!$B$3/100/12</f>
        <v>2003.4922881723062</v>
      </c>
      <c r="N302" s="19">
        <f t="shared" si="38"/>
        <v>236.50771182769381</v>
      </c>
      <c r="O302">
        <f>O301*(1+Finanzierung!$B$6/100/12)+$H$3</f>
        <v>661009.15814442676</v>
      </c>
      <c r="S302" s="22">
        <f t="shared" si="33"/>
        <v>24.916666666666668</v>
      </c>
      <c r="T302" s="19">
        <f t="shared" si="34"/>
        <v>-313243.50483486155</v>
      </c>
      <c r="U302" s="19">
        <f t="shared" si="35"/>
        <v>-90300.449920188054</v>
      </c>
    </row>
    <row r="303" spans="1:21" x14ac:dyDescent="0.2">
      <c r="A303">
        <v>300</v>
      </c>
      <c r="B303" s="19">
        <f>Finanzierung!$B$5</f>
        <v>3200.0000000000005</v>
      </c>
      <c r="C303" s="19">
        <f t="shared" si="32"/>
        <v>310878.82084775454</v>
      </c>
      <c r="D303" s="19">
        <f>C303*Finanzierung!$B$3/100/12</f>
        <v>829.01018892734544</v>
      </c>
      <c r="E303" s="19">
        <f t="shared" si="39"/>
        <v>2370.9898110726549</v>
      </c>
      <c r="J303">
        <v>300</v>
      </c>
      <c r="K303" s="19">
        <f t="shared" si="36"/>
        <v>2240</v>
      </c>
      <c r="L303" s="19">
        <f t="shared" si="37"/>
        <v>751073.10035278718</v>
      </c>
      <c r="M303" s="19">
        <f>L303*Finanzierung!$B$3/100/12</f>
        <v>2002.8616009407658</v>
      </c>
      <c r="N303" s="19">
        <f t="shared" si="38"/>
        <v>237.13839905923419</v>
      </c>
      <c r="O303">
        <f>O302*(1+Finanzierung!$B$6/100/12)+$H$3</f>
        <v>665274.20393514878</v>
      </c>
      <c r="S303" s="22">
        <f t="shared" si="33"/>
        <v>25</v>
      </c>
      <c r="T303" s="19">
        <f t="shared" si="34"/>
        <v>-310878.82084775454</v>
      </c>
      <c r="U303" s="19">
        <f t="shared" si="35"/>
        <v>-85798.896417638403</v>
      </c>
    </row>
    <row r="304" spans="1:21" x14ac:dyDescent="0.2">
      <c r="A304">
        <v>301</v>
      </c>
      <c r="B304" s="19">
        <f>Finanzierung!$B$5</f>
        <v>3200.0000000000005</v>
      </c>
      <c r="C304" s="19">
        <f t="shared" si="32"/>
        <v>308507.83103668189</v>
      </c>
      <c r="D304" s="19">
        <f>C304*Finanzierung!$B$3/100/12</f>
        <v>822.68754943115164</v>
      </c>
      <c r="E304" s="19">
        <f t="shared" si="39"/>
        <v>2377.3124505688488</v>
      </c>
      <c r="J304">
        <v>301</v>
      </c>
      <c r="K304" s="19">
        <f t="shared" si="36"/>
        <v>2240</v>
      </c>
      <c r="L304" s="19">
        <f t="shared" si="37"/>
        <v>750835.96195372799</v>
      </c>
      <c r="M304" s="19">
        <f>L304*Finanzierung!$B$3/100/12</f>
        <v>2002.2292318766079</v>
      </c>
      <c r="N304" s="19">
        <f t="shared" si="38"/>
        <v>237.77076812339214</v>
      </c>
      <c r="O304">
        <f>O303*(1+Finanzierung!$B$6/100/12)+$H$3</f>
        <v>669560.57495482441</v>
      </c>
      <c r="S304" s="22">
        <f t="shared" si="33"/>
        <v>25.083333333333332</v>
      </c>
      <c r="T304" s="19">
        <f t="shared" si="34"/>
        <v>-308507.83103668189</v>
      </c>
      <c r="U304" s="19">
        <f t="shared" si="35"/>
        <v>-81275.386998903588</v>
      </c>
    </row>
    <row r="305" spans="1:21" x14ac:dyDescent="0.2">
      <c r="A305">
        <v>302</v>
      </c>
      <c r="B305" s="19">
        <f>Finanzierung!$B$5</f>
        <v>3200.0000000000005</v>
      </c>
      <c r="C305" s="19">
        <f t="shared" si="32"/>
        <v>306130.51858611306</v>
      </c>
      <c r="D305" s="19">
        <f>C305*Finanzierung!$B$3/100/12</f>
        <v>816.34804956296819</v>
      </c>
      <c r="E305" s="19">
        <f t="shared" si="39"/>
        <v>2383.6519504370322</v>
      </c>
      <c r="J305">
        <v>302</v>
      </c>
      <c r="K305" s="19">
        <f t="shared" si="36"/>
        <v>2240</v>
      </c>
      <c r="L305" s="19">
        <f t="shared" si="37"/>
        <v>750598.19118560455</v>
      </c>
      <c r="M305" s="19">
        <f>L305*Finanzierung!$B$3/100/12</f>
        <v>2001.5951764949452</v>
      </c>
      <c r="N305" s="19">
        <f t="shared" si="38"/>
        <v>238.40482350505476</v>
      </c>
      <c r="O305">
        <f>O304*(1+Finanzierung!$B$6/100/12)+$H$3</f>
        <v>673868.3778295985</v>
      </c>
      <c r="S305" s="22">
        <f t="shared" si="33"/>
        <v>25.166666666666668</v>
      </c>
      <c r="T305" s="19">
        <f t="shared" si="34"/>
        <v>-306130.51858611306</v>
      </c>
      <c r="U305" s="19">
        <f t="shared" si="35"/>
        <v>-76729.813356006052</v>
      </c>
    </row>
    <row r="306" spans="1:21" x14ac:dyDescent="0.2">
      <c r="A306">
        <v>303</v>
      </c>
      <c r="B306" s="19">
        <f>Finanzierung!$B$5</f>
        <v>3200.0000000000005</v>
      </c>
      <c r="C306" s="19">
        <f t="shared" si="32"/>
        <v>303746.86663567601</v>
      </c>
      <c r="D306" s="19">
        <f>C306*Finanzierung!$B$3/100/12</f>
        <v>809.99164436180274</v>
      </c>
      <c r="E306" s="19">
        <f t="shared" si="39"/>
        <v>2390.0083556381978</v>
      </c>
      <c r="J306">
        <v>303</v>
      </c>
      <c r="K306" s="19">
        <f t="shared" si="36"/>
        <v>2240</v>
      </c>
      <c r="L306" s="19">
        <f t="shared" si="37"/>
        <v>750359.78636209946</v>
      </c>
      <c r="M306" s="19">
        <f>L306*Finanzierung!$B$3/100/12</f>
        <v>2000.9594302989319</v>
      </c>
      <c r="N306" s="19">
        <f t="shared" si="38"/>
        <v>239.04056970106808</v>
      </c>
      <c r="O306">
        <f>O305*(1+Finanzierung!$B$6/100/12)+$H$3</f>
        <v>678197.71971874638</v>
      </c>
      <c r="S306" s="22">
        <f t="shared" si="33"/>
        <v>25.25</v>
      </c>
      <c r="T306" s="19">
        <f t="shared" si="34"/>
        <v>-303746.86663567601</v>
      </c>
      <c r="U306" s="19">
        <f t="shared" si="35"/>
        <v>-72162.066643353086</v>
      </c>
    </row>
    <row r="307" spans="1:21" x14ac:dyDescent="0.2">
      <c r="A307">
        <v>304</v>
      </c>
      <c r="B307" s="19">
        <f>Finanzierung!$B$5</f>
        <v>3200.0000000000005</v>
      </c>
      <c r="C307" s="19">
        <f t="shared" si="32"/>
        <v>301356.85828003782</v>
      </c>
      <c r="D307" s="19">
        <f>C307*Finanzierung!$B$3/100/12</f>
        <v>803.61828874676758</v>
      </c>
      <c r="E307" s="19">
        <f t="shared" si="39"/>
        <v>2396.3817112532329</v>
      </c>
      <c r="J307">
        <v>304</v>
      </c>
      <c r="K307" s="19">
        <f t="shared" si="36"/>
        <v>2240</v>
      </c>
      <c r="L307" s="19">
        <f t="shared" si="37"/>
        <v>750120.74579239835</v>
      </c>
      <c r="M307" s="19">
        <f>L307*Finanzierung!$B$3/100/12</f>
        <v>2000.3219887797288</v>
      </c>
      <c r="N307" s="19">
        <f t="shared" si="38"/>
        <v>239.67801122027117</v>
      </c>
      <c r="O307">
        <f>O306*(1+Finanzierung!$B$6/100/12)+$H$3</f>
        <v>682548.70831734</v>
      </c>
      <c r="S307" s="22">
        <f t="shared" si="33"/>
        <v>25.333333333333332</v>
      </c>
      <c r="T307" s="19">
        <f t="shared" si="34"/>
        <v>-301356.85828003782</v>
      </c>
      <c r="U307" s="19">
        <f t="shared" si="35"/>
        <v>-67572.037475058343</v>
      </c>
    </row>
    <row r="308" spans="1:21" x14ac:dyDescent="0.2">
      <c r="A308">
        <v>305</v>
      </c>
      <c r="B308" s="19">
        <f>Finanzierung!$B$5</f>
        <v>3200.0000000000005</v>
      </c>
      <c r="C308" s="19">
        <f t="shared" si="32"/>
        <v>298960.47656878456</v>
      </c>
      <c r="D308" s="19">
        <f>C308*Finanzierung!$B$3/100/12</f>
        <v>797.22793751675897</v>
      </c>
      <c r="E308" s="19">
        <f t="shared" si="39"/>
        <v>2402.7720624832414</v>
      </c>
      <c r="J308">
        <v>305</v>
      </c>
      <c r="K308" s="19">
        <f t="shared" si="36"/>
        <v>2240</v>
      </c>
      <c r="L308" s="19">
        <f t="shared" si="37"/>
        <v>749881.06778117805</v>
      </c>
      <c r="M308" s="19">
        <f>L308*Finanzierung!$B$3/100/12</f>
        <v>1999.6828474164749</v>
      </c>
      <c r="N308" s="19">
        <f t="shared" si="38"/>
        <v>240.31715258352506</v>
      </c>
      <c r="O308">
        <f>O307*(1+Finanzierung!$B$6/100/12)+$H$3</f>
        <v>686921.45185892668</v>
      </c>
      <c r="S308" s="22">
        <f t="shared" si="33"/>
        <v>25.416666666666668</v>
      </c>
      <c r="T308" s="19">
        <f t="shared" si="34"/>
        <v>-298960.47656878456</v>
      </c>
      <c r="U308" s="19">
        <f t="shared" si="35"/>
        <v>-62959.615922251367</v>
      </c>
    </row>
    <row r="309" spans="1:21" x14ac:dyDescent="0.2">
      <c r="A309">
        <v>306</v>
      </c>
      <c r="B309" s="19">
        <f>Finanzierung!$B$5</f>
        <v>3200.0000000000005</v>
      </c>
      <c r="C309" s="19">
        <f t="shared" si="32"/>
        <v>296557.70450630132</v>
      </c>
      <c r="D309" s="19">
        <f>C309*Finanzierung!$B$3/100/12</f>
        <v>790.82054535013685</v>
      </c>
      <c r="E309" s="19">
        <f t="shared" si="39"/>
        <v>2409.1794546498636</v>
      </c>
      <c r="J309">
        <v>306</v>
      </c>
      <c r="K309" s="19">
        <f t="shared" si="36"/>
        <v>2240</v>
      </c>
      <c r="L309" s="19">
        <f t="shared" si="37"/>
        <v>749640.75062859454</v>
      </c>
      <c r="M309" s="19">
        <f>L309*Finanzierung!$B$3/100/12</f>
        <v>1999.0420016762521</v>
      </c>
      <c r="N309" s="19">
        <f t="shared" si="38"/>
        <v>240.95799832374792</v>
      </c>
      <c r="O309">
        <f>O308*(1+Finanzierung!$B$6/100/12)+$H$3</f>
        <v>691316.05911822128</v>
      </c>
      <c r="S309" s="22">
        <f t="shared" si="33"/>
        <v>25.5</v>
      </c>
      <c r="T309" s="19">
        <f t="shared" si="34"/>
        <v>-296557.70450630132</v>
      </c>
      <c r="U309" s="19">
        <f t="shared" si="35"/>
        <v>-58324.691510373261</v>
      </c>
    </row>
    <row r="310" spans="1:21" x14ac:dyDescent="0.2">
      <c r="A310">
        <v>307</v>
      </c>
      <c r="B310" s="19">
        <f>Finanzierung!$B$5</f>
        <v>3200.0000000000005</v>
      </c>
      <c r="C310" s="19">
        <f t="shared" si="32"/>
        <v>294148.52505165146</v>
      </c>
      <c r="D310" s="19">
        <f>C310*Finanzierung!$B$3/100/12</f>
        <v>784.39606680440386</v>
      </c>
      <c r="E310" s="19">
        <f t="shared" si="39"/>
        <v>2415.6039331955967</v>
      </c>
      <c r="J310">
        <v>307</v>
      </c>
      <c r="K310" s="19">
        <f t="shared" si="36"/>
        <v>2240</v>
      </c>
      <c r="L310" s="19">
        <f t="shared" si="37"/>
        <v>749399.79263027082</v>
      </c>
      <c r="M310" s="19">
        <f>L310*Finanzierung!$B$3/100/12</f>
        <v>1998.3994470140553</v>
      </c>
      <c r="N310" s="19">
        <f t="shared" si="38"/>
        <v>241.60055298594466</v>
      </c>
      <c r="O310">
        <f>O309*(1+Finanzierung!$B$6/100/12)+$H$3</f>
        <v>695732.63941381231</v>
      </c>
      <c r="S310" s="22">
        <f t="shared" si="33"/>
        <v>25.583333333333332</v>
      </c>
      <c r="T310" s="19">
        <f t="shared" si="34"/>
        <v>-294148.52505165146</v>
      </c>
      <c r="U310" s="19">
        <f t="shared" si="35"/>
        <v>-53667.153216458508</v>
      </c>
    </row>
    <row r="311" spans="1:21" x14ac:dyDescent="0.2">
      <c r="A311">
        <v>308</v>
      </c>
      <c r="B311" s="19">
        <f>Finanzierung!$B$5</f>
        <v>3200.0000000000005</v>
      </c>
      <c r="C311" s="19">
        <f t="shared" si="32"/>
        <v>291732.92111845588</v>
      </c>
      <c r="D311" s="19">
        <f>C311*Finanzierung!$B$3/100/12</f>
        <v>777.95445631588234</v>
      </c>
      <c r="E311" s="19">
        <f t="shared" si="39"/>
        <v>2422.045543684118</v>
      </c>
      <c r="J311">
        <v>308</v>
      </c>
      <c r="K311" s="19">
        <f t="shared" si="36"/>
        <v>2240</v>
      </c>
      <c r="L311" s="19">
        <f t="shared" si="37"/>
        <v>749158.19207728491</v>
      </c>
      <c r="M311" s="19">
        <f>L311*Finanzierung!$B$3/100/12</f>
        <v>1997.7551788727596</v>
      </c>
      <c r="N311" s="19">
        <f t="shared" si="38"/>
        <v>242.24482112724036</v>
      </c>
      <c r="O311">
        <f>O310*(1+Finanzierung!$B$6/100/12)+$H$3</f>
        <v>700171.30261088128</v>
      </c>
      <c r="S311" s="22">
        <f t="shared" si="33"/>
        <v>25.666666666666668</v>
      </c>
      <c r="T311" s="19">
        <f t="shared" si="34"/>
        <v>-291732.92111845588</v>
      </c>
      <c r="U311" s="19">
        <f t="shared" si="35"/>
        <v>-48986.889466403634</v>
      </c>
    </row>
    <row r="312" spans="1:21" x14ac:dyDescent="0.2">
      <c r="A312">
        <v>309</v>
      </c>
      <c r="B312" s="19">
        <f>Finanzierung!$B$5</f>
        <v>3200.0000000000005</v>
      </c>
      <c r="C312" s="19">
        <f t="shared" si="32"/>
        <v>289310.87557477178</v>
      </c>
      <c r="D312" s="19">
        <f>C312*Finanzierung!$B$3/100/12</f>
        <v>771.49566819939139</v>
      </c>
      <c r="E312" s="19">
        <f t="shared" si="39"/>
        <v>2428.5043318006092</v>
      </c>
      <c r="J312">
        <v>309</v>
      </c>
      <c r="K312" s="19">
        <f t="shared" si="36"/>
        <v>2240</v>
      </c>
      <c r="L312" s="19">
        <f t="shared" si="37"/>
        <v>748915.94725615764</v>
      </c>
      <c r="M312" s="19">
        <f>L312*Finanzierung!$B$3/100/12</f>
        <v>1997.109192683087</v>
      </c>
      <c r="N312" s="19">
        <f t="shared" si="38"/>
        <v>242.89080731691297</v>
      </c>
      <c r="O312">
        <f>O311*(1+Finanzierung!$B$6/100/12)+$H$3</f>
        <v>704632.15912393562</v>
      </c>
      <c r="S312" s="22">
        <f t="shared" si="33"/>
        <v>25.75</v>
      </c>
      <c r="T312" s="19">
        <f t="shared" si="34"/>
        <v>-289310.87557477178</v>
      </c>
      <c r="U312" s="19">
        <f t="shared" si="35"/>
        <v>-44283.78813222202</v>
      </c>
    </row>
    <row r="313" spans="1:21" x14ac:dyDescent="0.2">
      <c r="A313">
        <v>310</v>
      </c>
      <c r="B313" s="19">
        <f>Finanzierung!$B$5</f>
        <v>3200.0000000000005</v>
      </c>
      <c r="C313" s="19">
        <f t="shared" si="32"/>
        <v>286882.37124297116</v>
      </c>
      <c r="D313" s="19">
        <f>C313*Finanzierung!$B$3/100/12</f>
        <v>765.01965664792306</v>
      </c>
      <c r="E313" s="19">
        <f t="shared" si="39"/>
        <v>2434.9803433520774</v>
      </c>
      <c r="J313">
        <v>310</v>
      </c>
      <c r="K313" s="19">
        <f t="shared" si="36"/>
        <v>2240</v>
      </c>
      <c r="L313" s="19">
        <f t="shared" si="37"/>
        <v>748673.05644884077</v>
      </c>
      <c r="M313" s="19">
        <f>L313*Finanzierung!$B$3/100/12</f>
        <v>1996.4614838635755</v>
      </c>
      <c r="N313" s="19">
        <f t="shared" si="38"/>
        <v>243.53851613642451</v>
      </c>
      <c r="O313">
        <f>O312*(1+Finanzierung!$B$6/100/12)+$H$3</f>
        <v>709115.31991955522</v>
      </c>
      <c r="S313" s="22">
        <f t="shared" si="33"/>
        <v>25.833333333333332</v>
      </c>
      <c r="T313" s="19">
        <f t="shared" si="34"/>
        <v>-286882.37124297116</v>
      </c>
      <c r="U313" s="19">
        <f t="shared" si="35"/>
        <v>-39557.736529285554</v>
      </c>
    </row>
    <row r="314" spans="1:21" x14ac:dyDescent="0.2">
      <c r="A314">
        <v>311</v>
      </c>
      <c r="B314" s="19">
        <f>Finanzierung!$B$5</f>
        <v>3200.0000000000005</v>
      </c>
      <c r="C314" s="19">
        <f t="shared" si="32"/>
        <v>284447.39089961909</v>
      </c>
      <c r="D314" s="19">
        <f>C314*Finanzierung!$B$3/100/12</f>
        <v>758.52637573231766</v>
      </c>
      <c r="E314" s="19">
        <f t="shared" si="39"/>
        <v>2441.4736242676827</v>
      </c>
      <c r="J314">
        <v>311</v>
      </c>
      <c r="K314" s="19">
        <f t="shared" si="36"/>
        <v>2240</v>
      </c>
      <c r="L314" s="19">
        <f t="shared" si="37"/>
        <v>748429.5179327043</v>
      </c>
      <c r="M314" s="19">
        <f>L314*Finanzierung!$B$3/100/12</f>
        <v>1995.8120478205449</v>
      </c>
      <c r="N314" s="19">
        <f t="shared" si="38"/>
        <v>244.18795217945512</v>
      </c>
      <c r="O314">
        <f>O313*(1+Finanzierung!$B$6/100/12)+$H$3</f>
        <v>713620.89651915291</v>
      </c>
      <c r="S314" s="22">
        <f t="shared" si="33"/>
        <v>25.916666666666668</v>
      </c>
      <c r="T314" s="19">
        <f t="shared" si="34"/>
        <v>-284447.39089961909</v>
      </c>
      <c r="U314" s="19">
        <f t="shared" si="35"/>
        <v>-34808.621413551387</v>
      </c>
    </row>
    <row r="315" spans="1:21" x14ac:dyDescent="0.2">
      <c r="A315">
        <v>312</v>
      </c>
      <c r="B315" s="19">
        <f>Finanzierung!$B$5</f>
        <v>3200.0000000000005</v>
      </c>
      <c r="C315" s="19">
        <f t="shared" si="32"/>
        <v>282005.91727535141</v>
      </c>
      <c r="D315" s="19">
        <f>C315*Finanzierung!$B$3/100/12</f>
        <v>752.01577940093705</v>
      </c>
      <c r="E315" s="19">
        <f t="shared" si="39"/>
        <v>2447.9842205990635</v>
      </c>
      <c r="J315">
        <v>312</v>
      </c>
      <c r="K315" s="19">
        <f t="shared" si="36"/>
        <v>2240</v>
      </c>
      <c r="L315" s="19">
        <f t="shared" si="37"/>
        <v>748185.32998052484</v>
      </c>
      <c r="M315" s="19">
        <f>L315*Finanzierung!$B$3/100/12</f>
        <v>1995.1608799480662</v>
      </c>
      <c r="N315" s="19">
        <f t="shared" si="38"/>
        <v>244.83912005193383</v>
      </c>
      <c r="O315">
        <f>O314*(1+Finanzierung!$B$6/100/12)+$H$3</f>
        <v>718149.00100174861</v>
      </c>
      <c r="S315" s="22">
        <f t="shared" si="33"/>
        <v>26</v>
      </c>
      <c r="T315" s="19">
        <f t="shared" si="34"/>
        <v>-282005.91727535141</v>
      </c>
      <c r="U315" s="19">
        <f t="shared" si="35"/>
        <v>-30036.328978776233</v>
      </c>
    </row>
    <row r="316" spans="1:21" x14ac:dyDescent="0.2">
      <c r="A316">
        <v>313</v>
      </c>
      <c r="B316" s="19">
        <f>Finanzierung!$B$5</f>
        <v>3200.0000000000005</v>
      </c>
      <c r="C316" s="19">
        <f t="shared" ref="C316:C379" si="40">C315-E315</f>
        <v>279557.93305475236</v>
      </c>
      <c r="D316" s="19">
        <f>C316*Finanzierung!$B$3/100/12</f>
        <v>745.48782147933969</v>
      </c>
      <c r="E316" s="19">
        <f t="shared" si="39"/>
        <v>2454.5121785206607</v>
      </c>
      <c r="J316">
        <v>313</v>
      </c>
      <c r="K316" s="19">
        <f t="shared" si="36"/>
        <v>2240</v>
      </c>
      <c r="L316" s="19">
        <f t="shared" si="37"/>
        <v>747940.4908604729</v>
      </c>
      <c r="M316" s="19">
        <f>L316*Finanzierung!$B$3/100/12</f>
        <v>1994.5079756279276</v>
      </c>
      <c r="N316" s="19">
        <f t="shared" si="38"/>
        <v>245.49202437207236</v>
      </c>
      <c r="O316">
        <f>O315*(1+Finanzierung!$B$6/100/12)+$H$3</f>
        <v>722699.74600675725</v>
      </c>
      <c r="S316" s="22">
        <f t="shared" si="33"/>
        <v>26.083333333333332</v>
      </c>
      <c r="T316" s="19">
        <f t="shared" si="34"/>
        <v>-279557.93305475236</v>
      </c>
      <c r="U316" s="19">
        <f t="shared" si="35"/>
        <v>-25240.744853715645</v>
      </c>
    </row>
    <row r="317" spans="1:21" x14ac:dyDescent="0.2">
      <c r="A317">
        <v>314</v>
      </c>
      <c r="B317" s="19">
        <f>Finanzierung!$B$5</f>
        <v>3200.0000000000005</v>
      </c>
      <c r="C317" s="19">
        <f t="shared" si="40"/>
        <v>277103.42087623168</v>
      </c>
      <c r="D317" s="19">
        <f>C317*Finanzierung!$B$3/100/12</f>
        <v>738.94245566995107</v>
      </c>
      <c r="E317" s="19">
        <f t="shared" si="39"/>
        <v>2461.0575443300495</v>
      </c>
      <c r="J317">
        <v>314</v>
      </c>
      <c r="K317" s="19">
        <f t="shared" si="36"/>
        <v>2240</v>
      </c>
      <c r="L317" s="19">
        <f t="shared" si="37"/>
        <v>747694.9988361008</v>
      </c>
      <c r="M317" s="19">
        <f>L317*Finanzierung!$B$3/100/12</f>
        <v>1993.8533302296021</v>
      </c>
      <c r="N317" s="19">
        <f t="shared" si="38"/>
        <v>246.14666977039792</v>
      </c>
      <c r="O317">
        <f>O316*(1+Finanzierung!$B$6/100/12)+$H$3</f>
        <v>727273.24473679101</v>
      </c>
      <c r="S317" s="22">
        <f t="shared" si="33"/>
        <v>26.166666666666668</v>
      </c>
      <c r="T317" s="19">
        <f t="shared" si="34"/>
        <v>-277103.42087623168</v>
      </c>
      <c r="U317" s="19">
        <f t="shared" si="35"/>
        <v>-20421.754099309794</v>
      </c>
    </row>
    <row r="318" spans="1:21" x14ac:dyDescent="0.2">
      <c r="A318">
        <v>315</v>
      </c>
      <c r="B318" s="19">
        <f>Finanzierung!$B$5</f>
        <v>3200.0000000000005</v>
      </c>
      <c r="C318" s="19">
        <f t="shared" si="40"/>
        <v>274642.36333190161</v>
      </c>
      <c r="D318" s="19">
        <f>C318*Finanzierung!$B$3/100/12</f>
        <v>732.37963555173758</v>
      </c>
      <c r="E318" s="19">
        <f t="shared" si="39"/>
        <v>2467.620364448263</v>
      </c>
      <c r="J318">
        <v>315</v>
      </c>
      <c r="K318" s="19">
        <f t="shared" si="36"/>
        <v>2240</v>
      </c>
      <c r="L318" s="19">
        <f t="shared" si="37"/>
        <v>747448.85216633044</v>
      </c>
      <c r="M318" s="19">
        <f>L318*Finanzierung!$B$3/100/12</f>
        <v>1993.1969391102145</v>
      </c>
      <c r="N318" s="19">
        <f t="shared" si="38"/>
        <v>246.80306088978546</v>
      </c>
      <c r="O318">
        <f>O317*(1+Finanzierung!$B$6/100/12)+$H$3</f>
        <v>731869.61096047494</v>
      </c>
      <c r="S318" s="22">
        <f t="shared" si="33"/>
        <v>26.25</v>
      </c>
      <c r="T318" s="19">
        <f t="shared" si="34"/>
        <v>-274642.36333190161</v>
      </c>
      <c r="U318" s="19">
        <f t="shared" si="35"/>
        <v>-15579.241205855506</v>
      </c>
    </row>
    <row r="319" spans="1:21" x14ac:dyDescent="0.2">
      <c r="A319">
        <v>316</v>
      </c>
      <c r="B319" s="19">
        <f>Finanzierung!$B$5</f>
        <v>3200.0000000000005</v>
      </c>
      <c r="C319" s="19">
        <f t="shared" si="40"/>
        <v>272174.74296745332</v>
      </c>
      <c r="D319" s="19">
        <f>C319*Finanzierung!$B$3/100/12</f>
        <v>725.79931457987561</v>
      </c>
      <c r="E319" s="19">
        <f t="shared" si="39"/>
        <v>2474.200685420125</v>
      </c>
      <c r="J319">
        <v>316</v>
      </c>
      <c r="K319" s="19">
        <f t="shared" si="36"/>
        <v>2240</v>
      </c>
      <c r="L319" s="19">
        <f t="shared" si="37"/>
        <v>747202.04910544062</v>
      </c>
      <c r="M319" s="19">
        <f>L319*Finanzierung!$B$3/100/12</f>
        <v>1992.5387976145084</v>
      </c>
      <c r="N319" s="19">
        <f t="shared" si="38"/>
        <v>247.46120238549156</v>
      </c>
      <c r="O319">
        <f>O318*(1+Finanzierung!$B$6/100/12)+$H$3</f>
        <v>736488.95901527721</v>
      </c>
      <c r="S319" s="22">
        <f t="shared" si="33"/>
        <v>26.333333333333332</v>
      </c>
      <c r="T319" s="19">
        <f t="shared" si="34"/>
        <v>-272174.74296745332</v>
      </c>
      <c r="U319" s="19">
        <f t="shared" si="35"/>
        <v>-10713.090090163401</v>
      </c>
    </row>
    <row r="320" spans="1:21" x14ac:dyDescent="0.2">
      <c r="A320">
        <v>317</v>
      </c>
      <c r="B320" s="19">
        <f>Finanzierung!$B$5</f>
        <v>3200.0000000000005</v>
      </c>
      <c r="C320" s="19">
        <f t="shared" si="40"/>
        <v>269700.54228203319</v>
      </c>
      <c r="D320" s="19">
        <f>C320*Finanzierung!$B$3/100/12</f>
        <v>719.20144608542194</v>
      </c>
      <c r="E320" s="19">
        <f t="shared" si="39"/>
        <v>2480.7985539145784</v>
      </c>
      <c r="J320">
        <v>317</v>
      </c>
      <c r="K320" s="19">
        <f t="shared" si="36"/>
        <v>2240</v>
      </c>
      <c r="L320" s="19">
        <f t="shared" si="37"/>
        <v>746954.58790305513</v>
      </c>
      <c r="M320" s="19">
        <f>L320*Finanzierung!$B$3/100/12</f>
        <v>1991.8789010748139</v>
      </c>
      <c r="N320" s="19">
        <f t="shared" si="38"/>
        <v>248.12109892518606</v>
      </c>
      <c r="O320">
        <f>O319*(1+Finanzierung!$B$6/100/12)+$H$3</f>
        <v>741131.40381035348</v>
      </c>
      <c r="S320" s="22">
        <f t="shared" si="33"/>
        <v>26.416666666666668</v>
      </c>
      <c r="T320" s="19">
        <f t="shared" si="34"/>
        <v>-269700.54228203319</v>
      </c>
      <c r="U320" s="19">
        <f t="shared" si="35"/>
        <v>-5823.1840927016456</v>
      </c>
    </row>
    <row r="321" spans="1:21" x14ac:dyDescent="0.2">
      <c r="A321">
        <v>318</v>
      </c>
      <c r="B321" s="19">
        <f>Finanzierung!$B$5</f>
        <v>3200.0000000000005</v>
      </c>
      <c r="C321" s="19">
        <f t="shared" si="40"/>
        <v>267219.7437281186</v>
      </c>
      <c r="D321" s="19">
        <f>C321*Finanzierung!$B$3/100/12</f>
        <v>712.58598327498294</v>
      </c>
      <c r="E321" s="19">
        <f t="shared" si="39"/>
        <v>2487.4140167250175</v>
      </c>
      <c r="J321">
        <v>318</v>
      </c>
      <c r="K321" s="19">
        <f t="shared" si="36"/>
        <v>2240</v>
      </c>
      <c r="L321" s="19">
        <f t="shared" si="37"/>
        <v>746706.46680412989</v>
      </c>
      <c r="M321" s="19">
        <f>L321*Finanzierung!$B$3/100/12</f>
        <v>1991.217244811013</v>
      </c>
      <c r="N321" s="19">
        <f t="shared" si="38"/>
        <v>248.78275518898704</v>
      </c>
      <c r="O321">
        <f>O320*(1+Finanzierung!$B$6/100/12)+$H$3</f>
        <v>745797.06082940521</v>
      </c>
      <c r="S321" s="22">
        <f t="shared" si="33"/>
        <v>26.5</v>
      </c>
      <c r="T321" s="19">
        <f t="shared" si="34"/>
        <v>-267219.7437281186</v>
      </c>
      <c r="U321" s="19">
        <f t="shared" si="35"/>
        <v>-909.40597472467925</v>
      </c>
    </row>
    <row r="322" spans="1:21" x14ac:dyDescent="0.2">
      <c r="A322">
        <v>319</v>
      </c>
      <c r="B322" s="19">
        <f>Finanzierung!$B$5</f>
        <v>3200.0000000000005</v>
      </c>
      <c r="C322" s="19">
        <f t="shared" si="40"/>
        <v>264732.32971139357</v>
      </c>
      <c r="D322" s="19">
        <f>C322*Finanzierung!$B$3/100/12</f>
        <v>705.95287923038279</v>
      </c>
      <c r="E322" s="19">
        <f t="shared" si="39"/>
        <v>2494.0471207696178</v>
      </c>
      <c r="J322">
        <v>319</v>
      </c>
      <c r="K322" s="19">
        <f t="shared" si="36"/>
        <v>2240</v>
      </c>
      <c r="L322" s="19">
        <f t="shared" si="37"/>
        <v>746457.68404894089</v>
      </c>
      <c r="M322" s="19">
        <f>L322*Finanzierung!$B$3/100/12</f>
        <v>1990.5538241305092</v>
      </c>
      <c r="N322" s="19">
        <f t="shared" si="38"/>
        <v>249.44617586949084</v>
      </c>
      <c r="O322">
        <f>O321*(1+Finanzierung!$B$6/100/12)+$H$3</f>
        <v>750486.0461335521</v>
      </c>
      <c r="S322" s="22">
        <f t="shared" si="33"/>
        <v>26.583333333333332</v>
      </c>
      <c r="T322" s="19">
        <f t="shared" si="34"/>
        <v>-264732.32971139357</v>
      </c>
      <c r="U322" s="19">
        <f t="shared" si="35"/>
        <v>4028.3620846112026</v>
      </c>
    </row>
    <row r="323" spans="1:21" x14ac:dyDescent="0.2">
      <c r="A323">
        <v>320</v>
      </c>
      <c r="B323" s="19">
        <f>Finanzierung!$B$5</f>
        <v>3200.0000000000005</v>
      </c>
      <c r="C323" s="19">
        <f t="shared" si="40"/>
        <v>262238.28259062394</v>
      </c>
      <c r="D323" s="19">
        <f>C323*Finanzierung!$B$3/100/12</f>
        <v>699.30208690833058</v>
      </c>
      <c r="E323" s="19">
        <f t="shared" si="39"/>
        <v>2500.6979130916698</v>
      </c>
      <c r="J323">
        <v>320</v>
      </c>
      <c r="K323" s="19">
        <f t="shared" si="36"/>
        <v>2240</v>
      </c>
      <c r="L323" s="19">
        <f t="shared" si="37"/>
        <v>746208.23787307146</v>
      </c>
      <c r="M323" s="19">
        <f>L323*Finanzierung!$B$3/100/12</f>
        <v>1989.8886343281908</v>
      </c>
      <c r="N323" s="19">
        <f t="shared" si="38"/>
        <v>250.11136567180915</v>
      </c>
      <c r="O323">
        <f>O322*(1+Finanzierung!$B$6/100/12)+$H$3</f>
        <v>755198.47636421979</v>
      </c>
      <c r="S323" s="22">
        <f t="shared" si="33"/>
        <v>26.666666666666668</v>
      </c>
      <c r="T323" s="19">
        <f t="shared" si="34"/>
        <v>-262238.28259062394</v>
      </c>
      <c r="U323" s="19">
        <f t="shared" si="35"/>
        <v>8990.2384911483387</v>
      </c>
    </row>
    <row r="324" spans="1:21" x14ac:dyDescent="0.2">
      <c r="A324">
        <v>321</v>
      </c>
      <c r="B324" s="19">
        <f>Finanzierung!$B$5</f>
        <v>3200.0000000000005</v>
      </c>
      <c r="C324" s="19">
        <f t="shared" si="40"/>
        <v>259737.58467753229</v>
      </c>
      <c r="D324" s="19">
        <f>C324*Finanzierung!$B$3/100/12</f>
        <v>692.63355914008616</v>
      </c>
      <c r="E324" s="19">
        <f t="shared" si="39"/>
        <v>2507.3664408599143</v>
      </c>
      <c r="J324">
        <v>321</v>
      </c>
      <c r="K324" s="19">
        <f t="shared" si="36"/>
        <v>2240</v>
      </c>
      <c r="L324" s="19">
        <f t="shared" si="37"/>
        <v>745958.1265073996</v>
      </c>
      <c r="M324" s="19">
        <f>L324*Finanzierung!$B$3/100/12</f>
        <v>1989.221670686399</v>
      </c>
      <c r="N324" s="19">
        <f t="shared" si="38"/>
        <v>250.77832931360103</v>
      </c>
      <c r="O324">
        <f>O323*(1+Finanzierung!$B$6/100/12)+$H$3</f>
        <v>759934.46874604083</v>
      </c>
      <c r="S324" s="22">
        <f t="shared" ref="S324:S387" si="41">J324/12</f>
        <v>26.75</v>
      </c>
      <c r="T324" s="19">
        <f t="shared" ref="T324:T387" si="42">-C324</f>
        <v>-259737.58467753229</v>
      </c>
      <c r="U324" s="19">
        <f t="shared" ref="U324:U387" si="43">O324-L324</f>
        <v>13976.342238641228</v>
      </c>
    </row>
    <row r="325" spans="1:21" x14ac:dyDescent="0.2">
      <c r="A325">
        <v>322</v>
      </c>
      <c r="B325" s="19">
        <f>Finanzierung!$B$5</f>
        <v>3200.0000000000005</v>
      </c>
      <c r="C325" s="19">
        <f t="shared" si="40"/>
        <v>257230.21823667237</v>
      </c>
      <c r="D325" s="19">
        <f>C325*Finanzierung!$B$3/100/12</f>
        <v>685.9472486311264</v>
      </c>
      <c r="E325" s="19">
        <f t="shared" si="39"/>
        <v>2514.0527513688739</v>
      </c>
      <c r="J325">
        <v>322</v>
      </c>
      <c r="K325" s="19">
        <f t="shared" ref="K325:K388" si="44">$H$1</f>
        <v>2240</v>
      </c>
      <c r="L325" s="19">
        <f t="shared" ref="L325:L388" si="45">L324-N324</f>
        <v>745707.34817808599</v>
      </c>
      <c r="M325" s="19">
        <f>L325*Finanzierung!$B$3/100/12</f>
        <v>1988.5529284748957</v>
      </c>
      <c r="N325" s="19">
        <f t="shared" ref="N325:N388" si="46">K325-M325</f>
        <v>251.44707152510432</v>
      </c>
      <c r="O325">
        <f>O324*(1+Finanzierung!$B$6/100/12)+$H$3</f>
        <v>764694.14108977094</v>
      </c>
      <c r="S325" s="22">
        <f t="shared" si="41"/>
        <v>26.833333333333332</v>
      </c>
      <c r="T325" s="19">
        <f t="shared" si="42"/>
        <v>-257230.21823667237</v>
      </c>
      <c r="U325" s="19">
        <f t="shared" si="43"/>
        <v>18986.792911684955</v>
      </c>
    </row>
    <row r="326" spans="1:21" x14ac:dyDescent="0.2">
      <c r="A326">
        <v>323</v>
      </c>
      <c r="B326" s="19">
        <f>Finanzierung!$B$5</f>
        <v>3200.0000000000005</v>
      </c>
      <c r="C326" s="19">
        <f t="shared" si="40"/>
        <v>254716.1654853035</v>
      </c>
      <c r="D326" s="19">
        <f>C326*Finanzierung!$B$3/100/12</f>
        <v>679.24310796080931</v>
      </c>
      <c r="E326" s="19">
        <f t="shared" ref="E326:E389" si="47">B326-D326</f>
        <v>2520.7568920391914</v>
      </c>
      <c r="J326">
        <v>323</v>
      </c>
      <c r="K326" s="19">
        <f t="shared" si="44"/>
        <v>2240</v>
      </c>
      <c r="L326" s="19">
        <f t="shared" si="45"/>
        <v>745455.90110656084</v>
      </c>
      <c r="M326" s="19">
        <f>L326*Finanzierung!$B$3/100/12</f>
        <v>1987.8824029508289</v>
      </c>
      <c r="N326" s="19">
        <f t="shared" si="46"/>
        <v>252.11759704917108</v>
      </c>
      <c r="O326">
        <f>O325*(1+Finanzierung!$B$6/100/12)+$H$3</f>
        <v>769477.61179521971</v>
      </c>
      <c r="S326" s="22">
        <f t="shared" si="41"/>
        <v>26.916666666666668</v>
      </c>
      <c r="T326" s="19">
        <f t="shared" si="42"/>
        <v>-254716.1654853035</v>
      </c>
      <c r="U326" s="19">
        <f t="shared" si="43"/>
        <v>24021.710688658874</v>
      </c>
    </row>
    <row r="327" spans="1:21" x14ac:dyDescent="0.2">
      <c r="A327">
        <v>324</v>
      </c>
      <c r="B327" s="19">
        <f>Finanzierung!$B$5</f>
        <v>3200.0000000000005</v>
      </c>
      <c r="C327" s="19">
        <f t="shared" si="40"/>
        <v>252195.40859326432</v>
      </c>
      <c r="D327" s="19">
        <f>C327*Finanzierung!$B$3/100/12</f>
        <v>672.52108958203814</v>
      </c>
      <c r="E327" s="19">
        <f t="shared" si="47"/>
        <v>2527.4789104179622</v>
      </c>
      <c r="J327">
        <v>324</v>
      </c>
      <c r="K327" s="19">
        <f t="shared" si="44"/>
        <v>2240</v>
      </c>
      <c r="L327" s="19">
        <f t="shared" si="45"/>
        <v>745203.78350951162</v>
      </c>
      <c r="M327" s="19">
        <f>L327*Finanzierung!$B$3/100/12</f>
        <v>1987.2100893586978</v>
      </c>
      <c r="N327" s="19">
        <f t="shared" si="46"/>
        <v>252.78991064130219</v>
      </c>
      <c r="O327">
        <f>O326*(1+Finanzierung!$B$6/100/12)+$H$3</f>
        <v>774284.99985419575</v>
      </c>
      <c r="S327" s="22">
        <f t="shared" si="41"/>
        <v>27</v>
      </c>
      <c r="T327" s="19">
        <f t="shared" si="42"/>
        <v>-252195.40859326432</v>
      </c>
      <c r="U327" s="19">
        <f t="shared" si="43"/>
        <v>29081.21634468413</v>
      </c>
    </row>
    <row r="328" spans="1:21" x14ac:dyDescent="0.2">
      <c r="A328">
        <v>325</v>
      </c>
      <c r="B328" s="19">
        <f>Finanzierung!$B$5</f>
        <v>3200.0000000000005</v>
      </c>
      <c r="C328" s="19">
        <f t="shared" si="40"/>
        <v>249667.92968284636</v>
      </c>
      <c r="D328" s="19">
        <f>C328*Finanzierung!$B$3/100/12</f>
        <v>665.7811458209236</v>
      </c>
      <c r="E328" s="19">
        <f t="shared" si="47"/>
        <v>2534.218854179077</v>
      </c>
      <c r="J328">
        <v>325</v>
      </c>
      <c r="K328" s="19">
        <f t="shared" si="44"/>
        <v>2240</v>
      </c>
      <c r="L328" s="19">
        <f t="shared" si="45"/>
        <v>744950.99359887035</v>
      </c>
      <c r="M328" s="19">
        <f>L328*Finanzierung!$B$3/100/12</f>
        <v>1986.5359829303209</v>
      </c>
      <c r="N328" s="19">
        <f t="shared" si="46"/>
        <v>253.46401706967913</v>
      </c>
      <c r="O328">
        <f>O327*(1+Finanzierung!$B$6/100/12)+$H$3</f>
        <v>779116.42485346668</v>
      </c>
      <c r="S328" s="22">
        <f t="shared" si="41"/>
        <v>27.083333333333332</v>
      </c>
      <c r="T328" s="19">
        <f t="shared" si="42"/>
        <v>-249667.92968284636</v>
      </c>
      <c r="U328" s="19">
        <f t="shared" si="43"/>
        <v>34165.431254596333</v>
      </c>
    </row>
    <row r="329" spans="1:21" x14ac:dyDescent="0.2">
      <c r="A329">
        <v>326</v>
      </c>
      <c r="B329" s="19">
        <f>Finanzierung!$B$5</f>
        <v>3200.0000000000005</v>
      </c>
      <c r="C329" s="19">
        <f t="shared" si="40"/>
        <v>247133.71082866727</v>
      </c>
      <c r="D329" s="19">
        <f>C329*Finanzierung!$B$3/100/12</f>
        <v>659.02322887644607</v>
      </c>
      <c r="E329" s="19">
        <f t="shared" si="47"/>
        <v>2540.9767711235545</v>
      </c>
      <c r="J329">
        <v>326</v>
      </c>
      <c r="K329" s="19">
        <f t="shared" si="44"/>
        <v>2240</v>
      </c>
      <c r="L329" s="19">
        <f t="shared" si="45"/>
        <v>744697.52958180069</v>
      </c>
      <c r="M329" s="19">
        <f>L329*Finanzierung!$B$3/100/12</f>
        <v>1985.8600788848019</v>
      </c>
      <c r="N329" s="19">
        <f t="shared" si="46"/>
        <v>254.13992111519815</v>
      </c>
      <c r="O329">
        <f>O328*(1+Finanzierung!$B$6/100/12)+$H$3</f>
        <v>783972.00697773392</v>
      </c>
      <c r="S329" s="22">
        <f t="shared" si="41"/>
        <v>27.166666666666668</v>
      </c>
      <c r="T329" s="19">
        <f t="shared" si="42"/>
        <v>-247133.71082866727</v>
      </c>
      <c r="U329" s="19">
        <f t="shared" si="43"/>
        <v>39274.477395933238</v>
      </c>
    </row>
    <row r="330" spans="1:21" x14ac:dyDescent="0.2">
      <c r="A330">
        <v>327</v>
      </c>
      <c r="B330" s="19">
        <f>Finanzierung!$B$5</f>
        <v>3200.0000000000005</v>
      </c>
      <c r="C330" s="19">
        <f t="shared" si="40"/>
        <v>244592.73405754371</v>
      </c>
      <c r="D330" s="19">
        <f>C330*Finanzierung!$B$3/100/12</f>
        <v>652.24729082011652</v>
      </c>
      <c r="E330" s="19">
        <f t="shared" si="47"/>
        <v>2547.7527091798838</v>
      </c>
      <c r="J330">
        <v>327</v>
      </c>
      <c r="K330" s="19">
        <f t="shared" si="44"/>
        <v>2240</v>
      </c>
      <c r="L330" s="19">
        <f t="shared" si="45"/>
        <v>744443.38966068544</v>
      </c>
      <c r="M330" s="19">
        <f>L330*Finanzierung!$B$3/100/12</f>
        <v>1985.1823724284948</v>
      </c>
      <c r="N330" s="19">
        <f t="shared" si="46"/>
        <v>254.81762757150523</v>
      </c>
      <c r="O330">
        <f>O329*(1+Finanzierung!$B$6/100/12)+$H$3</f>
        <v>788851.86701262253</v>
      </c>
      <c r="S330" s="22">
        <f t="shared" si="41"/>
        <v>27.25</v>
      </c>
      <c r="T330" s="19">
        <f t="shared" si="42"/>
        <v>-244592.73405754371</v>
      </c>
      <c r="U330" s="19">
        <f t="shared" si="43"/>
        <v>44408.477351937094</v>
      </c>
    </row>
    <row r="331" spans="1:21" x14ac:dyDescent="0.2">
      <c r="A331">
        <v>328</v>
      </c>
      <c r="B331" s="19">
        <f>Finanzierung!$B$5</f>
        <v>3200.0000000000005</v>
      </c>
      <c r="C331" s="19">
        <f t="shared" si="40"/>
        <v>242044.98134836383</v>
      </c>
      <c r="D331" s="19">
        <f>C331*Finanzierung!$B$3/100/12</f>
        <v>645.45328359563689</v>
      </c>
      <c r="E331" s="19">
        <f t="shared" si="47"/>
        <v>2554.5467164043635</v>
      </c>
      <c r="J331">
        <v>328</v>
      </c>
      <c r="K331" s="19">
        <f t="shared" si="44"/>
        <v>2240</v>
      </c>
      <c r="L331" s="19">
        <f t="shared" si="45"/>
        <v>744188.57203311392</v>
      </c>
      <c r="M331" s="19">
        <f>L331*Finanzierung!$B$3/100/12</f>
        <v>1984.5028587549705</v>
      </c>
      <c r="N331" s="19">
        <f t="shared" si="46"/>
        <v>255.49714124502952</v>
      </c>
      <c r="O331">
        <f>O330*(1+Finanzierung!$B$6/100/12)+$H$3</f>
        <v>793756.12634768558</v>
      </c>
      <c r="S331" s="22">
        <f t="shared" si="41"/>
        <v>27.333333333333332</v>
      </c>
      <c r="T331" s="19">
        <f t="shared" si="42"/>
        <v>-242044.98134836383</v>
      </c>
      <c r="U331" s="19">
        <f t="shared" si="43"/>
        <v>49567.554314571666</v>
      </c>
    </row>
    <row r="332" spans="1:21" x14ac:dyDescent="0.2">
      <c r="A332">
        <v>329</v>
      </c>
      <c r="B332" s="19">
        <f>Finanzierung!$B$5</f>
        <v>3200.0000000000005</v>
      </c>
      <c r="C332" s="19">
        <f t="shared" si="40"/>
        <v>239490.43463195948</v>
      </c>
      <c r="D332" s="19">
        <f>C332*Finanzierung!$B$3/100/12</f>
        <v>638.64115901855871</v>
      </c>
      <c r="E332" s="19">
        <f t="shared" si="47"/>
        <v>2561.358840981442</v>
      </c>
      <c r="J332">
        <v>329</v>
      </c>
      <c r="K332" s="19">
        <f t="shared" si="44"/>
        <v>2240</v>
      </c>
      <c r="L332" s="19">
        <f t="shared" si="45"/>
        <v>743933.07489186886</v>
      </c>
      <c r="M332" s="19">
        <f>L332*Finanzierung!$B$3/100/12</f>
        <v>1983.8215330449837</v>
      </c>
      <c r="N332" s="19">
        <f t="shared" si="46"/>
        <v>256.17846695501635</v>
      </c>
      <c r="O332">
        <f>O331*(1+Finanzierung!$B$6/100/12)+$H$3</f>
        <v>798684.90697942395</v>
      </c>
      <c r="S332" s="22">
        <f t="shared" si="41"/>
        <v>27.416666666666668</v>
      </c>
      <c r="T332" s="19">
        <f t="shared" si="42"/>
        <v>-239490.43463195948</v>
      </c>
      <c r="U332" s="19">
        <f t="shared" si="43"/>
        <v>54751.832087555085</v>
      </c>
    </row>
    <row r="333" spans="1:21" x14ac:dyDescent="0.2">
      <c r="A333">
        <v>330</v>
      </c>
      <c r="B333" s="19">
        <f>Finanzierung!$B$5</f>
        <v>3200.0000000000005</v>
      </c>
      <c r="C333" s="19">
        <f t="shared" si="40"/>
        <v>236929.07579097804</v>
      </c>
      <c r="D333" s="19">
        <f>C333*Finanzierung!$B$3/100/12</f>
        <v>631.81086877594146</v>
      </c>
      <c r="E333" s="19">
        <f t="shared" si="47"/>
        <v>2568.1891312240591</v>
      </c>
      <c r="J333">
        <v>330</v>
      </c>
      <c r="K333" s="19">
        <f t="shared" si="44"/>
        <v>2240</v>
      </c>
      <c r="L333" s="19">
        <f t="shared" si="45"/>
        <v>743676.8964249139</v>
      </c>
      <c r="M333" s="19">
        <f>L333*Finanzierung!$B$3/100/12</f>
        <v>1983.1383904664369</v>
      </c>
      <c r="N333" s="19">
        <f t="shared" si="46"/>
        <v>256.86160953356307</v>
      </c>
      <c r="O333">
        <f>O332*(1+Finanzierung!$B$6/100/12)+$H$3</f>
        <v>803638.33151432103</v>
      </c>
      <c r="S333" s="22">
        <f t="shared" si="41"/>
        <v>27.5</v>
      </c>
      <c r="T333" s="19">
        <f t="shared" si="42"/>
        <v>-236929.07579097804</v>
      </c>
      <c r="U333" s="19">
        <f t="shared" si="43"/>
        <v>59961.435089407139</v>
      </c>
    </row>
    <row r="334" spans="1:21" x14ac:dyDescent="0.2">
      <c r="A334">
        <v>331</v>
      </c>
      <c r="B334" s="19">
        <f>Finanzierung!$B$5</f>
        <v>3200.0000000000005</v>
      </c>
      <c r="C334" s="19">
        <f t="shared" si="40"/>
        <v>234360.88665975397</v>
      </c>
      <c r="D334" s="19">
        <f>C334*Finanzierung!$B$3/100/12</f>
        <v>624.96236442601059</v>
      </c>
      <c r="E334" s="19">
        <f t="shared" si="47"/>
        <v>2575.03763557399</v>
      </c>
      <c r="J334">
        <v>331</v>
      </c>
      <c r="K334" s="19">
        <f t="shared" si="44"/>
        <v>2240</v>
      </c>
      <c r="L334" s="19">
        <f t="shared" si="45"/>
        <v>743420.03481538035</v>
      </c>
      <c r="M334" s="19">
        <f>L334*Finanzierung!$B$3/100/12</f>
        <v>1982.4534261743477</v>
      </c>
      <c r="N334" s="19">
        <f t="shared" si="46"/>
        <v>257.54657382565233</v>
      </c>
      <c r="O334">
        <f>O333*(1+Finanzierung!$B$6/100/12)+$H$3</f>
        <v>808616.52317189251</v>
      </c>
      <c r="S334" s="22">
        <f t="shared" si="41"/>
        <v>27.583333333333332</v>
      </c>
      <c r="T334" s="19">
        <f t="shared" si="42"/>
        <v>-234360.88665975397</v>
      </c>
      <c r="U334" s="19">
        <f t="shared" si="43"/>
        <v>65196.488356512156</v>
      </c>
    </row>
    <row r="335" spans="1:21" x14ac:dyDescent="0.2">
      <c r="A335">
        <v>332</v>
      </c>
      <c r="B335" s="19">
        <f>Finanzierung!$B$5</f>
        <v>3200.0000000000005</v>
      </c>
      <c r="C335" s="19">
        <f t="shared" si="40"/>
        <v>231785.84902417997</v>
      </c>
      <c r="D335" s="19">
        <f>C335*Finanzierung!$B$3/100/12</f>
        <v>618.09559739781332</v>
      </c>
      <c r="E335" s="19">
        <f t="shared" si="47"/>
        <v>2581.904402602187</v>
      </c>
      <c r="J335">
        <v>332</v>
      </c>
      <c r="K335" s="19">
        <f t="shared" si="44"/>
        <v>2240</v>
      </c>
      <c r="L335" s="19">
        <f t="shared" si="45"/>
        <v>743162.4882415547</v>
      </c>
      <c r="M335" s="19">
        <f>L335*Finanzierung!$B$3/100/12</f>
        <v>1981.7666353108125</v>
      </c>
      <c r="N335" s="19">
        <f t="shared" si="46"/>
        <v>258.23336468918751</v>
      </c>
      <c r="O335">
        <f>O334*(1+Finanzierung!$B$6/100/12)+$H$3</f>
        <v>813619.60578775185</v>
      </c>
      <c r="S335" s="22">
        <f t="shared" si="41"/>
        <v>27.666666666666668</v>
      </c>
      <c r="T335" s="19">
        <f t="shared" si="42"/>
        <v>-231785.84902417997</v>
      </c>
      <c r="U335" s="19">
        <f t="shared" si="43"/>
        <v>70457.117546197143</v>
      </c>
    </row>
    <row r="336" spans="1:21" x14ac:dyDescent="0.2">
      <c r="A336">
        <v>333</v>
      </c>
      <c r="B336" s="19">
        <f>Finanzierung!$B$5</f>
        <v>3200.0000000000005</v>
      </c>
      <c r="C336" s="19">
        <f t="shared" si="40"/>
        <v>229203.9446215778</v>
      </c>
      <c r="D336" s="19">
        <f>C336*Finanzierung!$B$3/100/12</f>
        <v>611.21051899087422</v>
      </c>
      <c r="E336" s="19">
        <f t="shared" si="47"/>
        <v>2588.7894810091261</v>
      </c>
      <c r="J336">
        <v>333</v>
      </c>
      <c r="K336" s="19">
        <f t="shared" si="44"/>
        <v>2240</v>
      </c>
      <c r="L336" s="19">
        <f t="shared" si="45"/>
        <v>742904.25487686554</v>
      </c>
      <c r="M336" s="19">
        <f>L336*Finanzierung!$B$3/100/12</f>
        <v>1981.078013004975</v>
      </c>
      <c r="N336" s="19">
        <f t="shared" si="46"/>
        <v>258.92198699502501</v>
      </c>
      <c r="O336">
        <f>O335*(1+Finanzierung!$B$6/100/12)+$H$3</f>
        <v>818647.70381669048</v>
      </c>
      <c r="S336" s="22">
        <f t="shared" si="41"/>
        <v>27.75</v>
      </c>
      <c r="T336" s="19">
        <f t="shared" si="42"/>
        <v>-229203.9446215778</v>
      </c>
      <c r="U336" s="19">
        <f t="shared" si="43"/>
        <v>75743.448939824942</v>
      </c>
    </row>
    <row r="337" spans="1:21" x14ac:dyDescent="0.2">
      <c r="A337">
        <v>334</v>
      </c>
      <c r="B337" s="19">
        <f>Finanzierung!$B$5</f>
        <v>3200.0000000000005</v>
      </c>
      <c r="C337" s="19">
        <f t="shared" si="40"/>
        <v>226615.15514056868</v>
      </c>
      <c r="D337" s="19">
        <f>C337*Finanzierung!$B$3/100/12</f>
        <v>604.30708037484976</v>
      </c>
      <c r="E337" s="19">
        <f t="shared" si="47"/>
        <v>2595.6929196251508</v>
      </c>
      <c r="J337">
        <v>334</v>
      </c>
      <c r="K337" s="19">
        <f t="shared" si="44"/>
        <v>2240</v>
      </c>
      <c r="L337" s="19">
        <f t="shared" si="45"/>
        <v>742645.33288987051</v>
      </c>
      <c r="M337" s="19">
        <f>L337*Finanzierung!$B$3/100/12</f>
        <v>1980.387554372988</v>
      </c>
      <c r="N337" s="19">
        <f t="shared" si="46"/>
        <v>259.61244562701199</v>
      </c>
      <c r="O337">
        <f>O336*(1+Finanzierung!$B$6/100/12)+$H$3</f>
        <v>823700.94233577384</v>
      </c>
      <c r="S337" s="22">
        <f t="shared" si="41"/>
        <v>27.833333333333332</v>
      </c>
      <c r="T337" s="19">
        <f t="shared" si="42"/>
        <v>-226615.15514056868</v>
      </c>
      <c r="U337" s="19">
        <f t="shared" si="43"/>
        <v>81055.609445903334</v>
      </c>
    </row>
    <row r="338" spans="1:21" x14ac:dyDescent="0.2">
      <c r="A338">
        <v>335</v>
      </c>
      <c r="B338" s="19">
        <f>Finanzierung!$B$5</f>
        <v>3200.0000000000005</v>
      </c>
      <c r="C338" s="19">
        <f t="shared" si="40"/>
        <v>224019.46222094353</v>
      </c>
      <c r="D338" s="19">
        <f>C338*Finanzierung!$B$3/100/12</f>
        <v>597.38523258918269</v>
      </c>
      <c r="E338" s="19">
        <f t="shared" si="47"/>
        <v>2602.6147674108179</v>
      </c>
      <c r="J338">
        <v>335</v>
      </c>
      <c r="K338" s="19">
        <f t="shared" si="44"/>
        <v>2240</v>
      </c>
      <c r="L338" s="19">
        <f t="shared" si="45"/>
        <v>742385.72044424352</v>
      </c>
      <c r="M338" s="19">
        <f>L338*Finanzierung!$B$3/100/12</f>
        <v>1979.6952545179827</v>
      </c>
      <c r="N338" s="19">
        <f t="shared" si="46"/>
        <v>260.30474548201732</v>
      </c>
      <c r="O338">
        <f>O337*(1+Finanzierung!$B$6/100/12)+$H$3</f>
        <v>828779.44704745268</v>
      </c>
      <c r="S338" s="22">
        <f t="shared" si="41"/>
        <v>27.916666666666668</v>
      </c>
      <c r="T338" s="19">
        <f t="shared" si="42"/>
        <v>-224019.46222094353</v>
      </c>
      <c r="U338" s="19">
        <f t="shared" si="43"/>
        <v>86393.726603209157</v>
      </c>
    </row>
    <row r="339" spans="1:21" x14ac:dyDescent="0.2">
      <c r="A339">
        <v>336</v>
      </c>
      <c r="B339" s="19">
        <f>Finanzierung!$B$5</f>
        <v>3200.0000000000005</v>
      </c>
      <c r="C339" s="19">
        <f t="shared" si="40"/>
        <v>221416.84745353271</v>
      </c>
      <c r="D339" s="19">
        <f>C339*Finanzierung!$B$3/100/12</f>
        <v>590.44492654275393</v>
      </c>
      <c r="E339" s="19">
        <f t="shared" si="47"/>
        <v>2609.5550734572466</v>
      </c>
      <c r="J339">
        <v>336</v>
      </c>
      <c r="K339" s="19">
        <f t="shared" si="44"/>
        <v>2240</v>
      </c>
      <c r="L339" s="19">
        <f t="shared" si="45"/>
        <v>742125.41569876147</v>
      </c>
      <c r="M339" s="19">
        <f>L339*Finanzierung!$B$3/100/12</f>
        <v>1979.0011085300305</v>
      </c>
      <c r="N339" s="19">
        <f t="shared" si="46"/>
        <v>260.99889146996952</v>
      </c>
      <c r="O339">
        <f>O338*(1+Finanzierung!$B$6/100/12)+$H$3</f>
        <v>833883.34428268985</v>
      </c>
      <c r="S339" s="22">
        <f t="shared" si="41"/>
        <v>28</v>
      </c>
      <c r="T339" s="19">
        <f t="shared" si="42"/>
        <v>-221416.84745353271</v>
      </c>
      <c r="U339" s="19">
        <f t="shared" si="43"/>
        <v>91757.928583928384</v>
      </c>
    </row>
    <row r="340" spans="1:21" x14ac:dyDescent="0.2">
      <c r="A340">
        <v>337</v>
      </c>
      <c r="B340" s="19">
        <f>Finanzierung!$B$5</f>
        <v>3200.0000000000005</v>
      </c>
      <c r="C340" s="19">
        <f t="shared" si="40"/>
        <v>218807.29238007547</v>
      </c>
      <c r="D340" s="19">
        <f>C340*Finanzierung!$B$3/100/12</f>
        <v>583.48611301353469</v>
      </c>
      <c r="E340" s="19">
        <f t="shared" si="47"/>
        <v>2616.5138869864659</v>
      </c>
      <c r="J340">
        <v>337</v>
      </c>
      <c r="K340" s="19">
        <f t="shared" si="44"/>
        <v>2240</v>
      </c>
      <c r="L340" s="19">
        <f t="shared" si="45"/>
        <v>741864.41680729145</v>
      </c>
      <c r="M340" s="19">
        <f>L340*Finanzierung!$B$3/100/12</f>
        <v>1978.3051114861103</v>
      </c>
      <c r="N340" s="19">
        <f t="shared" si="46"/>
        <v>261.69488851388974</v>
      </c>
      <c r="O340">
        <f>O339*(1+Finanzierung!$B$6/100/12)+$H$3</f>
        <v>839012.76100410323</v>
      </c>
      <c r="S340" s="22">
        <f t="shared" si="41"/>
        <v>28.083333333333332</v>
      </c>
      <c r="T340" s="19">
        <f t="shared" si="42"/>
        <v>-218807.29238007547</v>
      </c>
      <c r="U340" s="19">
        <f t="shared" si="43"/>
        <v>97148.344196811784</v>
      </c>
    </row>
    <row r="341" spans="1:21" x14ac:dyDescent="0.2">
      <c r="A341">
        <v>338</v>
      </c>
      <c r="B341" s="19">
        <f>Finanzierung!$B$5</f>
        <v>3200.0000000000005</v>
      </c>
      <c r="C341" s="19">
        <f t="shared" si="40"/>
        <v>216190.77849308899</v>
      </c>
      <c r="D341" s="19">
        <f>C341*Finanzierung!$B$3/100/12</f>
        <v>576.50874264823744</v>
      </c>
      <c r="E341" s="19">
        <f t="shared" si="47"/>
        <v>2623.4912573517631</v>
      </c>
      <c r="J341">
        <v>338</v>
      </c>
      <c r="K341" s="19">
        <f t="shared" si="44"/>
        <v>2240</v>
      </c>
      <c r="L341" s="19">
        <f t="shared" si="45"/>
        <v>741602.72191877756</v>
      </c>
      <c r="M341" s="19">
        <f>L341*Finanzierung!$B$3/100/12</f>
        <v>1977.6072584500735</v>
      </c>
      <c r="N341" s="19">
        <f t="shared" si="46"/>
        <v>262.39274154992654</v>
      </c>
      <c r="O341">
        <f>O340*(1+Finanzierung!$B$6/100/12)+$H$3</f>
        <v>844167.82480912365</v>
      </c>
      <c r="S341" s="22">
        <f t="shared" si="41"/>
        <v>28.166666666666668</v>
      </c>
      <c r="T341" s="19">
        <f t="shared" si="42"/>
        <v>-216190.77849308899</v>
      </c>
      <c r="U341" s="19">
        <f t="shared" si="43"/>
        <v>102565.10289034608</v>
      </c>
    </row>
    <row r="342" spans="1:21" x14ac:dyDescent="0.2">
      <c r="A342">
        <v>339</v>
      </c>
      <c r="B342" s="19">
        <f>Finanzierung!$B$5</f>
        <v>3200.0000000000005</v>
      </c>
      <c r="C342" s="19">
        <f t="shared" si="40"/>
        <v>213567.28723573723</v>
      </c>
      <c r="D342" s="19">
        <f>C342*Finanzierung!$B$3/100/12</f>
        <v>569.51276596196601</v>
      </c>
      <c r="E342" s="19">
        <f t="shared" si="47"/>
        <v>2630.4872340380343</v>
      </c>
      <c r="J342">
        <v>339</v>
      </c>
      <c r="K342" s="19">
        <f t="shared" si="44"/>
        <v>2240</v>
      </c>
      <c r="L342" s="19">
        <f t="shared" si="45"/>
        <v>741340.32917722769</v>
      </c>
      <c r="M342" s="19">
        <f>L342*Finanzierung!$B$3/100/12</f>
        <v>1976.907544472607</v>
      </c>
      <c r="N342" s="19">
        <f t="shared" si="46"/>
        <v>263.09245552739299</v>
      </c>
      <c r="O342">
        <f>O341*(1+Finanzierung!$B$6/100/12)+$H$3</f>
        <v>849348.66393316921</v>
      </c>
      <c r="S342" s="22">
        <f t="shared" si="41"/>
        <v>28.25</v>
      </c>
      <c r="T342" s="19">
        <f t="shared" si="42"/>
        <v>-213567.28723573723</v>
      </c>
      <c r="U342" s="19">
        <f t="shared" si="43"/>
        <v>108008.33475594153</v>
      </c>
    </row>
    <row r="343" spans="1:21" x14ac:dyDescent="0.2">
      <c r="A343">
        <v>340</v>
      </c>
      <c r="B343" s="19">
        <f>Finanzierung!$B$5</f>
        <v>3200.0000000000005</v>
      </c>
      <c r="C343" s="19">
        <f t="shared" si="40"/>
        <v>210936.80000169919</v>
      </c>
      <c r="D343" s="19">
        <f>C343*Finanzierung!$B$3/100/12</f>
        <v>562.49813333786449</v>
      </c>
      <c r="E343" s="19">
        <f t="shared" si="47"/>
        <v>2637.5018666621359</v>
      </c>
      <c r="J343">
        <v>340</v>
      </c>
      <c r="K343" s="19">
        <f t="shared" si="44"/>
        <v>2240</v>
      </c>
      <c r="L343" s="19">
        <f t="shared" si="45"/>
        <v>741077.23672170029</v>
      </c>
      <c r="M343" s="19">
        <f>L343*Finanzierung!$B$3/100/12</f>
        <v>1976.2059645912007</v>
      </c>
      <c r="N343" s="19">
        <f t="shared" si="46"/>
        <v>263.79403540879935</v>
      </c>
      <c r="O343">
        <f>O342*(1+Finanzierung!$B$6/100/12)+$H$3</f>
        <v>854555.40725283499</v>
      </c>
      <c r="S343" s="22">
        <f t="shared" si="41"/>
        <v>28.333333333333332</v>
      </c>
      <c r="T343" s="19">
        <f t="shared" si="42"/>
        <v>-210936.80000169919</v>
      </c>
      <c r="U343" s="19">
        <f t="shared" si="43"/>
        <v>113478.1705311347</v>
      </c>
    </row>
    <row r="344" spans="1:21" x14ac:dyDescent="0.2">
      <c r="A344">
        <v>341</v>
      </c>
      <c r="B344" s="19">
        <f>Finanzierung!$B$5</f>
        <v>3200.0000000000005</v>
      </c>
      <c r="C344" s="19">
        <f t="shared" si="40"/>
        <v>208299.29813503704</v>
      </c>
      <c r="D344" s="19">
        <f>C344*Finanzierung!$B$3/100/12</f>
        <v>555.4647950267655</v>
      </c>
      <c r="E344" s="19">
        <f t="shared" si="47"/>
        <v>2644.5352049732351</v>
      </c>
      <c r="J344">
        <v>341</v>
      </c>
      <c r="K344" s="19">
        <f t="shared" si="44"/>
        <v>2240</v>
      </c>
      <c r="L344" s="19">
        <f t="shared" si="45"/>
        <v>740813.44268629153</v>
      </c>
      <c r="M344" s="19">
        <f>L344*Finanzierung!$B$3/100/12</f>
        <v>1975.5025138301107</v>
      </c>
      <c r="N344" s="19">
        <f t="shared" si="46"/>
        <v>264.49748616988927</v>
      </c>
      <c r="O344">
        <f>O343*(1+Finanzierung!$B$6/100/12)+$H$3</f>
        <v>859788.18428909907</v>
      </c>
      <c r="S344" s="22">
        <f t="shared" si="41"/>
        <v>28.416666666666668</v>
      </c>
      <c r="T344" s="19">
        <f t="shared" si="42"/>
        <v>-208299.29813503704</v>
      </c>
      <c r="U344" s="19">
        <f t="shared" si="43"/>
        <v>118974.74160280754</v>
      </c>
    </row>
    <row r="345" spans="1:21" x14ac:dyDescent="0.2">
      <c r="A345">
        <v>342</v>
      </c>
      <c r="B345" s="19">
        <f>Finanzierung!$B$5</f>
        <v>3200.0000000000005</v>
      </c>
      <c r="C345" s="19">
        <f t="shared" si="40"/>
        <v>205654.76293006379</v>
      </c>
      <c r="D345" s="19">
        <f>C345*Finanzierung!$B$3/100/12</f>
        <v>548.41270114683687</v>
      </c>
      <c r="E345" s="19">
        <f t="shared" si="47"/>
        <v>2651.5872988531637</v>
      </c>
      <c r="J345">
        <v>342</v>
      </c>
      <c r="K345" s="19">
        <f t="shared" si="44"/>
        <v>2240</v>
      </c>
      <c r="L345" s="19">
        <f t="shared" si="45"/>
        <v>740548.94520012161</v>
      </c>
      <c r="M345" s="19">
        <f>L345*Finanzierung!$B$3/100/12</f>
        <v>1974.7971872003245</v>
      </c>
      <c r="N345" s="19">
        <f t="shared" si="46"/>
        <v>265.20281279967548</v>
      </c>
      <c r="O345">
        <f>O344*(1+Finanzierung!$B$6/100/12)+$H$3</f>
        <v>865047.12521054444</v>
      </c>
      <c r="S345" s="22">
        <f t="shared" si="41"/>
        <v>28.5</v>
      </c>
      <c r="T345" s="19">
        <f t="shared" si="42"/>
        <v>-205654.76293006379</v>
      </c>
      <c r="U345" s="19">
        <f t="shared" si="43"/>
        <v>124498.18001042283</v>
      </c>
    </row>
    <row r="346" spans="1:21" x14ac:dyDescent="0.2">
      <c r="A346">
        <v>343</v>
      </c>
      <c r="B346" s="19">
        <f>Finanzierung!$B$5</f>
        <v>3200.0000000000005</v>
      </c>
      <c r="C346" s="19">
        <f t="shared" si="40"/>
        <v>203003.17563121062</v>
      </c>
      <c r="D346" s="19">
        <f>C346*Finanzierung!$B$3/100/12</f>
        <v>541.34180168322825</v>
      </c>
      <c r="E346" s="19">
        <f t="shared" si="47"/>
        <v>2658.6581983167721</v>
      </c>
      <c r="J346">
        <v>343</v>
      </c>
      <c r="K346" s="19">
        <f t="shared" si="44"/>
        <v>2240</v>
      </c>
      <c r="L346" s="19">
        <f t="shared" si="45"/>
        <v>740283.74238732189</v>
      </c>
      <c r="M346" s="19">
        <f>L346*Finanzierung!$B$3/100/12</f>
        <v>1974.0899796995254</v>
      </c>
      <c r="N346" s="19">
        <f t="shared" si="46"/>
        <v>265.91002030047457</v>
      </c>
      <c r="O346">
        <f>O345*(1+Finanzierung!$B$6/100/12)+$H$3</f>
        <v>870332.36083659704</v>
      </c>
      <c r="S346" s="22">
        <f t="shared" si="41"/>
        <v>28.583333333333332</v>
      </c>
      <c r="T346" s="19">
        <f t="shared" si="42"/>
        <v>-203003.17563121062</v>
      </c>
      <c r="U346" s="19">
        <f t="shared" si="43"/>
        <v>130048.61844927515</v>
      </c>
    </row>
    <row r="347" spans="1:21" x14ac:dyDescent="0.2">
      <c r="A347">
        <v>344</v>
      </c>
      <c r="B347" s="19">
        <f>Finanzierung!$B$5</f>
        <v>3200.0000000000005</v>
      </c>
      <c r="C347" s="19">
        <f t="shared" si="40"/>
        <v>200344.51743289383</v>
      </c>
      <c r="D347" s="19">
        <f>C347*Finanzierung!$B$3/100/12</f>
        <v>534.25204648771694</v>
      </c>
      <c r="E347" s="19">
        <f t="shared" si="47"/>
        <v>2665.7479535122834</v>
      </c>
      <c r="J347">
        <v>344</v>
      </c>
      <c r="K347" s="19">
        <f t="shared" si="44"/>
        <v>2240</v>
      </c>
      <c r="L347" s="19">
        <f t="shared" si="45"/>
        <v>740017.83236702147</v>
      </c>
      <c r="M347" s="19">
        <f>L347*Finanzierung!$B$3/100/12</f>
        <v>1973.3808863120573</v>
      </c>
      <c r="N347" s="19">
        <f t="shared" si="46"/>
        <v>266.61911368794267</v>
      </c>
      <c r="O347">
        <f>O346*(1+Finanzierung!$B$6/100/12)+$H$3</f>
        <v>875644.02264077996</v>
      </c>
      <c r="S347" s="22">
        <f t="shared" si="41"/>
        <v>28.666666666666668</v>
      </c>
      <c r="T347" s="19">
        <f t="shared" si="42"/>
        <v>-200344.51743289383</v>
      </c>
      <c r="U347" s="19">
        <f t="shared" si="43"/>
        <v>135626.19027375849</v>
      </c>
    </row>
    <row r="348" spans="1:21" x14ac:dyDescent="0.2">
      <c r="A348">
        <v>345</v>
      </c>
      <c r="B348" s="19">
        <f>Finanzierung!$B$5</f>
        <v>3200.0000000000005</v>
      </c>
      <c r="C348" s="19">
        <f t="shared" si="40"/>
        <v>197678.76947938156</v>
      </c>
      <c r="D348" s="19">
        <f>C348*Finanzierung!$B$3/100/12</f>
        <v>527.14338527835093</v>
      </c>
      <c r="E348" s="19">
        <f t="shared" si="47"/>
        <v>2672.8566147216497</v>
      </c>
      <c r="J348">
        <v>345</v>
      </c>
      <c r="K348" s="19">
        <f t="shared" si="44"/>
        <v>2240</v>
      </c>
      <c r="L348" s="19">
        <f t="shared" si="45"/>
        <v>739751.21325333358</v>
      </c>
      <c r="M348" s="19">
        <f>L348*Finanzierung!$B$3/100/12</f>
        <v>1972.6699020088893</v>
      </c>
      <c r="N348" s="19">
        <f t="shared" si="46"/>
        <v>267.33009799111073</v>
      </c>
      <c r="O348">
        <f>O347*(1+Finanzierung!$B$6/100/12)+$H$3</f>
        <v>880982.24275398382</v>
      </c>
      <c r="S348" s="22">
        <f t="shared" si="41"/>
        <v>28.75</v>
      </c>
      <c r="T348" s="19">
        <f t="shared" si="42"/>
        <v>-197678.76947938156</v>
      </c>
      <c r="U348" s="19">
        <f t="shared" si="43"/>
        <v>141231.02950065024</v>
      </c>
    </row>
    <row r="349" spans="1:21" x14ac:dyDescent="0.2">
      <c r="A349">
        <v>346</v>
      </c>
      <c r="B349" s="19">
        <f>Finanzierung!$B$5</f>
        <v>3200.0000000000005</v>
      </c>
      <c r="C349" s="19">
        <f t="shared" si="40"/>
        <v>195005.91286465991</v>
      </c>
      <c r="D349" s="19">
        <f>C349*Finanzierung!$B$3/100/12</f>
        <v>520.01576763909304</v>
      </c>
      <c r="E349" s="19">
        <f t="shared" si="47"/>
        <v>2679.9842323609073</v>
      </c>
      <c r="J349">
        <v>346</v>
      </c>
      <c r="K349" s="19">
        <f t="shared" si="44"/>
        <v>2240</v>
      </c>
      <c r="L349" s="19">
        <f t="shared" si="45"/>
        <v>739483.88315534242</v>
      </c>
      <c r="M349" s="19">
        <f>L349*Finanzierung!$B$3/100/12</f>
        <v>1971.95702174758</v>
      </c>
      <c r="N349" s="19">
        <f t="shared" si="46"/>
        <v>268.04297825241997</v>
      </c>
      <c r="O349">
        <f>O348*(1+Finanzierung!$B$6/100/12)+$H$3</f>
        <v>886347.15396775363</v>
      </c>
      <c r="S349" s="22">
        <f t="shared" si="41"/>
        <v>28.833333333333332</v>
      </c>
      <c r="T349" s="19">
        <f t="shared" si="42"/>
        <v>-195005.91286465991</v>
      </c>
      <c r="U349" s="19">
        <f t="shared" si="43"/>
        <v>146863.27081241121</v>
      </c>
    </row>
    <row r="350" spans="1:21" x14ac:dyDescent="0.2">
      <c r="A350">
        <v>347</v>
      </c>
      <c r="B350" s="19">
        <f>Finanzierung!$B$5</f>
        <v>3200.0000000000005</v>
      </c>
      <c r="C350" s="19">
        <f t="shared" si="40"/>
        <v>192325.92863229901</v>
      </c>
      <c r="D350" s="19">
        <f>C350*Finanzierung!$B$3/100/12</f>
        <v>512.86914301946399</v>
      </c>
      <c r="E350" s="19">
        <f t="shared" si="47"/>
        <v>2687.1308569805365</v>
      </c>
      <c r="J350">
        <v>347</v>
      </c>
      <c r="K350" s="19">
        <f t="shared" si="44"/>
        <v>2240</v>
      </c>
      <c r="L350" s="19">
        <f t="shared" si="45"/>
        <v>739215.84017709002</v>
      </c>
      <c r="M350" s="19">
        <f>L350*Finanzierung!$B$3/100/12</f>
        <v>1971.2422404722399</v>
      </c>
      <c r="N350" s="19">
        <f t="shared" si="46"/>
        <v>268.75775952776007</v>
      </c>
      <c r="O350">
        <f>O349*(1+Finanzierung!$B$6/100/12)+$H$3</f>
        <v>891738.88973759231</v>
      </c>
      <c r="S350" s="22">
        <f t="shared" si="41"/>
        <v>28.916666666666668</v>
      </c>
      <c r="T350" s="19">
        <f t="shared" si="42"/>
        <v>-192325.92863229901</v>
      </c>
      <c r="U350" s="19">
        <f t="shared" si="43"/>
        <v>152523.04956050229</v>
      </c>
    </row>
    <row r="351" spans="1:21" x14ac:dyDescent="0.2">
      <c r="A351">
        <v>348</v>
      </c>
      <c r="B351" s="19">
        <f>Finanzierung!$B$5</f>
        <v>3200.0000000000005</v>
      </c>
      <c r="C351" s="19">
        <f t="shared" si="40"/>
        <v>189638.79777531847</v>
      </c>
      <c r="D351" s="19">
        <f>C351*Finanzierung!$B$3/100/12</f>
        <v>505.70346073418267</v>
      </c>
      <c r="E351" s="19">
        <f t="shared" si="47"/>
        <v>2694.296539265818</v>
      </c>
      <c r="J351">
        <v>348</v>
      </c>
      <c r="K351" s="19">
        <f t="shared" si="44"/>
        <v>2240</v>
      </c>
      <c r="L351" s="19">
        <f t="shared" si="45"/>
        <v>738947.08241756225</v>
      </c>
      <c r="M351" s="19">
        <f>L351*Finanzierung!$B$3/100/12</f>
        <v>1970.5255531134997</v>
      </c>
      <c r="N351" s="19">
        <f t="shared" si="46"/>
        <v>269.47444688650035</v>
      </c>
      <c r="O351">
        <f>O350*(1+Finanzierung!$B$6/100/12)+$H$3</f>
        <v>897157.58418628015</v>
      </c>
      <c r="S351" s="22">
        <f t="shared" si="41"/>
        <v>29</v>
      </c>
      <c r="T351" s="19">
        <f t="shared" si="42"/>
        <v>-189638.79777531847</v>
      </c>
      <c r="U351" s="19">
        <f t="shared" si="43"/>
        <v>158210.50176871789</v>
      </c>
    </row>
    <row r="352" spans="1:21" x14ac:dyDescent="0.2">
      <c r="A352">
        <v>349</v>
      </c>
      <c r="B352" s="19">
        <f>Finanzierung!$B$5</f>
        <v>3200.0000000000005</v>
      </c>
      <c r="C352" s="19">
        <f t="shared" si="40"/>
        <v>186944.50123605266</v>
      </c>
      <c r="D352" s="19">
        <f>C352*Finanzierung!$B$3/100/12</f>
        <v>498.51866996280711</v>
      </c>
      <c r="E352" s="19">
        <f t="shared" si="47"/>
        <v>2701.4813300371934</v>
      </c>
      <c r="J352">
        <v>349</v>
      </c>
      <c r="K352" s="19">
        <f t="shared" si="44"/>
        <v>2240</v>
      </c>
      <c r="L352" s="19">
        <f t="shared" si="45"/>
        <v>738677.6079706758</v>
      </c>
      <c r="M352" s="19">
        <f>L352*Finanzierung!$B$3/100/12</f>
        <v>1969.8069545884691</v>
      </c>
      <c r="N352" s="19">
        <f t="shared" si="46"/>
        <v>270.19304541153087</v>
      </c>
      <c r="O352">
        <f>O351*(1+Finanzierung!$B$6/100/12)+$H$3</f>
        <v>902603.3721072115</v>
      </c>
      <c r="S352" s="22">
        <f t="shared" si="41"/>
        <v>29.083333333333332</v>
      </c>
      <c r="T352" s="19">
        <f t="shared" si="42"/>
        <v>-186944.50123605266</v>
      </c>
      <c r="U352" s="19">
        <f t="shared" si="43"/>
        <v>163925.7641365357</v>
      </c>
    </row>
    <row r="353" spans="1:21" x14ac:dyDescent="0.2">
      <c r="A353">
        <v>350</v>
      </c>
      <c r="B353" s="19">
        <f>Finanzierung!$B$5</f>
        <v>3200.0000000000005</v>
      </c>
      <c r="C353" s="19">
        <f t="shared" si="40"/>
        <v>184243.01990601546</v>
      </c>
      <c r="D353" s="19">
        <f>C353*Finanzierung!$B$3/100/12</f>
        <v>491.31471974937455</v>
      </c>
      <c r="E353" s="19">
        <f t="shared" si="47"/>
        <v>2708.685280250626</v>
      </c>
      <c r="J353">
        <v>350</v>
      </c>
      <c r="K353" s="19">
        <f t="shared" si="44"/>
        <v>2240</v>
      </c>
      <c r="L353" s="19">
        <f t="shared" si="45"/>
        <v>738407.41492526431</v>
      </c>
      <c r="M353" s="19">
        <f>L353*Finanzierung!$B$3/100/12</f>
        <v>1969.086439800705</v>
      </c>
      <c r="N353" s="19">
        <f t="shared" si="46"/>
        <v>270.91356019929503</v>
      </c>
      <c r="O353">
        <f>O352*(1+Finanzierung!$B$6/100/12)+$H$3</f>
        <v>908076.38896774745</v>
      </c>
      <c r="S353" s="22">
        <f t="shared" si="41"/>
        <v>29.166666666666668</v>
      </c>
      <c r="T353" s="19">
        <f t="shared" si="42"/>
        <v>-184243.01990601546</v>
      </c>
      <c r="U353" s="19">
        <f t="shared" si="43"/>
        <v>169668.97404248314</v>
      </c>
    </row>
    <row r="354" spans="1:21" x14ac:dyDescent="0.2">
      <c r="A354">
        <v>351</v>
      </c>
      <c r="B354" s="19">
        <f>Finanzierung!$B$5</f>
        <v>3200.0000000000005</v>
      </c>
      <c r="C354" s="19">
        <f t="shared" si="40"/>
        <v>181534.33462576484</v>
      </c>
      <c r="D354" s="19">
        <f>C354*Finanzierung!$B$3/100/12</f>
        <v>484.09155900203967</v>
      </c>
      <c r="E354" s="19">
        <f t="shared" si="47"/>
        <v>2715.908440997961</v>
      </c>
      <c r="J354">
        <v>351</v>
      </c>
      <c r="K354" s="19">
        <f t="shared" si="44"/>
        <v>2240</v>
      </c>
      <c r="L354" s="19">
        <f t="shared" si="45"/>
        <v>738136.50136506499</v>
      </c>
      <c r="M354" s="19">
        <f>L354*Finanzierung!$B$3/100/12</f>
        <v>1968.3640036401737</v>
      </c>
      <c r="N354" s="19">
        <f t="shared" si="46"/>
        <v>271.63599635982632</v>
      </c>
      <c r="O354">
        <f>O353*(1+Finanzierung!$B$6/100/12)+$H$3</f>
        <v>913576.77091258613</v>
      </c>
      <c r="S354" s="22">
        <f t="shared" si="41"/>
        <v>29.25</v>
      </c>
      <c r="T354" s="19">
        <f t="shared" si="42"/>
        <v>-181534.33462576484</v>
      </c>
      <c r="U354" s="19">
        <f t="shared" si="43"/>
        <v>175440.26954752114</v>
      </c>
    </row>
    <row r="355" spans="1:21" x14ac:dyDescent="0.2">
      <c r="A355">
        <v>352</v>
      </c>
      <c r="B355" s="19">
        <f>Finanzierung!$B$5</f>
        <v>3200.0000000000005</v>
      </c>
      <c r="C355" s="19">
        <f t="shared" si="40"/>
        <v>178818.42618476687</v>
      </c>
      <c r="D355" s="19">
        <f>C355*Finanzierung!$B$3/100/12</f>
        <v>476.84913649271169</v>
      </c>
      <c r="E355" s="19">
        <f t="shared" si="47"/>
        <v>2723.1508635072887</v>
      </c>
      <c r="J355">
        <v>352</v>
      </c>
      <c r="K355" s="19">
        <f t="shared" si="44"/>
        <v>2240</v>
      </c>
      <c r="L355" s="19">
        <f t="shared" si="45"/>
        <v>737864.86536870513</v>
      </c>
      <c r="M355" s="19">
        <f>L355*Finanzierung!$B$3/100/12</f>
        <v>1967.6396409832139</v>
      </c>
      <c r="N355" s="19">
        <f t="shared" si="46"/>
        <v>272.36035901678611</v>
      </c>
      <c r="O355">
        <f>O354*(1+Finanzierung!$B$6/100/12)+$H$3</f>
        <v>919104.65476714901</v>
      </c>
      <c r="S355" s="22">
        <f t="shared" si="41"/>
        <v>29.333333333333332</v>
      </c>
      <c r="T355" s="19">
        <f t="shared" si="42"/>
        <v>-178818.42618476687</v>
      </c>
      <c r="U355" s="19">
        <f t="shared" si="43"/>
        <v>181239.78939844389</v>
      </c>
    </row>
    <row r="356" spans="1:21" x14ac:dyDescent="0.2">
      <c r="A356">
        <v>353</v>
      </c>
      <c r="B356" s="19">
        <f>Finanzierung!$B$5</f>
        <v>3200.0000000000005</v>
      </c>
      <c r="C356" s="19">
        <f t="shared" si="40"/>
        <v>176095.27532125957</v>
      </c>
      <c r="D356" s="19">
        <f>C356*Finanzierung!$B$3/100/12</f>
        <v>469.58740085669223</v>
      </c>
      <c r="E356" s="19">
        <f t="shared" si="47"/>
        <v>2730.4125991433084</v>
      </c>
      <c r="J356">
        <v>353</v>
      </c>
      <c r="K356" s="19">
        <f t="shared" si="44"/>
        <v>2240</v>
      </c>
      <c r="L356" s="19">
        <f t="shared" si="45"/>
        <v>737592.50500968832</v>
      </c>
      <c r="M356" s="19">
        <f>L356*Finanzierung!$B$3/100/12</f>
        <v>1966.9133466925023</v>
      </c>
      <c r="N356" s="19">
        <f t="shared" si="46"/>
        <v>273.08665330749773</v>
      </c>
      <c r="O356">
        <f>O355*(1+Finanzierung!$B$6/100/12)+$H$3</f>
        <v>924660.17804098467</v>
      </c>
      <c r="S356" s="22">
        <f t="shared" si="41"/>
        <v>29.416666666666668</v>
      </c>
      <c r="T356" s="19">
        <f t="shared" si="42"/>
        <v>-176095.27532125957</v>
      </c>
      <c r="U356" s="19">
        <f t="shared" si="43"/>
        <v>187067.67303129635</v>
      </c>
    </row>
    <row r="357" spans="1:21" x14ac:dyDescent="0.2">
      <c r="A357">
        <v>354</v>
      </c>
      <c r="B357" s="19">
        <f>Finanzierung!$B$5</f>
        <v>3200.0000000000005</v>
      </c>
      <c r="C357" s="19">
        <f t="shared" si="40"/>
        <v>173364.86272211626</v>
      </c>
      <c r="D357" s="19">
        <f>C357*Finanzierung!$B$3/100/12</f>
        <v>462.30630059231004</v>
      </c>
      <c r="E357" s="19">
        <f t="shared" si="47"/>
        <v>2737.6936994076905</v>
      </c>
      <c r="J357">
        <v>354</v>
      </c>
      <c r="K357" s="19">
        <f t="shared" si="44"/>
        <v>2240</v>
      </c>
      <c r="L357" s="19">
        <f t="shared" si="45"/>
        <v>737319.41835638077</v>
      </c>
      <c r="M357" s="19">
        <f>L357*Finanzierung!$B$3/100/12</f>
        <v>1966.1851156170153</v>
      </c>
      <c r="N357" s="19">
        <f t="shared" si="46"/>
        <v>273.8148843829847</v>
      </c>
      <c r="O357">
        <f>O356*(1+Finanzierung!$B$6/100/12)+$H$3</f>
        <v>930243.47893118951</v>
      </c>
      <c r="S357" s="22">
        <f t="shared" si="41"/>
        <v>29.5</v>
      </c>
      <c r="T357" s="19">
        <f t="shared" si="42"/>
        <v>-173364.86272211626</v>
      </c>
      <c r="U357" s="19">
        <f t="shared" si="43"/>
        <v>192924.06057480874</v>
      </c>
    </row>
    <row r="358" spans="1:21" x14ac:dyDescent="0.2">
      <c r="A358">
        <v>355</v>
      </c>
      <c r="B358" s="19">
        <f>Finanzierung!$B$5</f>
        <v>3200.0000000000005</v>
      </c>
      <c r="C358" s="19">
        <f t="shared" si="40"/>
        <v>170627.16902270858</v>
      </c>
      <c r="D358" s="19">
        <f>C358*Finanzierung!$B$3/100/12</f>
        <v>455.00578406055621</v>
      </c>
      <c r="E358" s="19">
        <f t="shared" si="47"/>
        <v>2744.9942159394441</v>
      </c>
      <c r="J358">
        <v>355</v>
      </c>
      <c r="K358" s="19">
        <f t="shared" si="44"/>
        <v>2240</v>
      </c>
      <c r="L358" s="19">
        <f t="shared" si="45"/>
        <v>737045.60347199778</v>
      </c>
      <c r="M358" s="19">
        <f>L358*Finanzierung!$B$3/100/12</f>
        <v>1965.454942591994</v>
      </c>
      <c r="N358" s="19">
        <f t="shared" si="46"/>
        <v>274.54505740800596</v>
      </c>
      <c r="O358">
        <f>O357*(1+Finanzierung!$B$6/100/12)+$H$3</f>
        <v>935854.69632584532</v>
      </c>
      <c r="S358" s="22">
        <f t="shared" si="41"/>
        <v>29.583333333333332</v>
      </c>
      <c r="T358" s="19">
        <f t="shared" si="42"/>
        <v>-170627.16902270858</v>
      </c>
      <c r="U358" s="19">
        <f t="shared" si="43"/>
        <v>198809.09285384754</v>
      </c>
    </row>
    <row r="359" spans="1:21" x14ac:dyDescent="0.2">
      <c r="A359">
        <v>356</v>
      </c>
      <c r="B359" s="19">
        <f>Finanzierung!$B$5</f>
        <v>3200.0000000000005</v>
      </c>
      <c r="C359" s="19">
        <f t="shared" si="40"/>
        <v>167882.17480676912</v>
      </c>
      <c r="D359" s="19">
        <f>C359*Finanzierung!$B$3/100/12</f>
        <v>447.68579948471773</v>
      </c>
      <c r="E359" s="19">
        <f t="shared" si="47"/>
        <v>2752.3142005152827</v>
      </c>
      <c r="J359">
        <v>356</v>
      </c>
      <c r="K359" s="19">
        <f t="shared" si="44"/>
        <v>2240</v>
      </c>
      <c r="L359" s="19">
        <f t="shared" si="45"/>
        <v>736771.05841458973</v>
      </c>
      <c r="M359" s="19">
        <f>L359*Finanzierung!$B$3/100/12</f>
        <v>1964.7228224389062</v>
      </c>
      <c r="N359" s="19">
        <f t="shared" si="46"/>
        <v>275.27717756109382</v>
      </c>
      <c r="O359">
        <f>O358*(1+Finanzierung!$B$6/100/12)+$H$3</f>
        <v>941493.96980747441</v>
      </c>
      <c r="S359" s="22">
        <f t="shared" si="41"/>
        <v>29.666666666666668</v>
      </c>
      <c r="T359" s="19">
        <f t="shared" si="42"/>
        <v>-167882.17480676912</v>
      </c>
      <c r="U359" s="19">
        <f t="shared" si="43"/>
        <v>204722.91139288468</v>
      </c>
    </row>
    <row r="360" spans="1:21" x14ac:dyDescent="0.2">
      <c r="A360">
        <v>357</v>
      </c>
      <c r="B360" s="19">
        <f>Finanzierung!$B$5</f>
        <v>3200.0000000000005</v>
      </c>
      <c r="C360" s="19">
        <f t="shared" si="40"/>
        <v>165129.86060625385</v>
      </c>
      <c r="D360" s="19">
        <f>C360*Finanzierung!$B$3/100/12</f>
        <v>440.3462949500103</v>
      </c>
      <c r="E360" s="19">
        <f t="shared" si="47"/>
        <v>2759.6537050499901</v>
      </c>
      <c r="J360">
        <v>357</v>
      </c>
      <c r="K360" s="19">
        <f t="shared" si="44"/>
        <v>2240</v>
      </c>
      <c r="L360" s="19">
        <f t="shared" si="45"/>
        <v>736495.78123702866</v>
      </c>
      <c r="M360" s="19">
        <f>L360*Finanzierung!$B$3/100/12</f>
        <v>1963.9887499654099</v>
      </c>
      <c r="N360" s="19">
        <f t="shared" si="46"/>
        <v>276.01125003459015</v>
      </c>
      <c r="O360">
        <f>O359*(1+Finanzierung!$B$6/100/12)+$H$3</f>
        <v>947161.43965651165</v>
      </c>
      <c r="S360" s="22">
        <f t="shared" si="41"/>
        <v>29.75</v>
      </c>
      <c r="T360" s="19">
        <f t="shared" si="42"/>
        <v>-165129.86060625385</v>
      </c>
      <c r="U360" s="19">
        <f t="shared" si="43"/>
        <v>210665.65841948299</v>
      </c>
    </row>
    <row r="361" spans="1:21" x14ac:dyDescent="0.2">
      <c r="A361">
        <v>358</v>
      </c>
      <c r="B361" s="19">
        <f>Finanzierung!$B$5</f>
        <v>3200.0000000000005</v>
      </c>
      <c r="C361" s="19">
        <f t="shared" si="40"/>
        <v>162370.20690120384</v>
      </c>
      <c r="D361" s="19">
        <f>C361*Finanzierung!$B$3/100/12</f>
        <v>432.98721840321031</v>
      </c>
      <c r="E361" s="19">
        <f t="shared" si="47"/>
        <v>2767.0127815967903</v>
      </c>
      <c r="J361">
        <v>358</v>
      </c>
      <c r="K361" s="19">
        <f t="shared" si="44"/>
        <v>2240</v>
      </c>
      <c r="L361" s="19">
        <f t="shared" si="45"/>
        <v>736219.7699869941</v>
      </c>
      <c r="M361" s="19">
        <f>L361*Finanzierung!$B$3/100/12</f>
        <v>1963.2527199653175</v>
      </c>
      <c r="N361" s="19">
        <f t="shared" si="46"/>
        <v>276.74728003468249</v>
      </c>
      <c r="O361">
        <f>O360*(1+Finanzierung!$B$6/100/12)+$H$3</f>
        <v>952857.2468547941</v>
      </c>
      <c r="S361" s="22">
        <f t="shared" si="41"/>
        <v>29.833333333333332</v>
      </c>
      <c r="T361" s="19">
        <f t="shared" si="42"/>
        <v>-162370.20690120384</v>
      </c>
      <c r="U361" s="19">
        <f t="shared" si="43"/>
        <v>216637.4768678</v>
      </c>
    </row>
    <row r="362" spans="1:21" x14ac:dyDescent="0.2">
      <c r="A362">
        <v>359</v>
      </c>
      <c r="B362" s="19">
        <f>Finanzierung!$B$5</f>
        <v>3200.0000000000005</v>
      </c>
      <c r="C362" s="19">
        <f t="shared" si="40"/>
        <v>159603.19411960704</v>
      </c>
      <c r="D362" s="19">
        <f>C362*Finanzierung!$B$3/100/12</f>
        <v>425.60851765228546</v>
      </c>
      <c r="E362" s="19">
        <f t="shared" si="47"/>
        <v>2774.3914823477148</v>
      </c>
      <c r="J362">
        <v>359</v>
      </c>
      <c r="K362" s="19">
        <f t="shared" si="44"/>
        <v>2240</v>
      </c>
      <c r="L362" s="19">
        <f t="shared" si="45"/>
        <v>735943.0227069594</v>
      </c>
      <c r="M362" s="19">
        <f>L362*Finanzierung!$B$3/100/12</f>
        <v>1962.5147272185586</v>
      </c>
      <c r="N362" s="19">
        <f t="shared" si="46"/>
        <v>277.48527278144138</v>
      </c>
      <c r="O362">
        <f>O361*(1+Finanzierung!$B$6/100/12)+$H$3</f>
        <v>958581.53308906802</v>
      </c>
      <c r="S362" s="22">
        <f t="shared" si="41"/>
        <v>29.916666666666668</v>
      </c>
      <c r="T362" s="19">
        <f t="shared" si="42"/>
        <v>-159603.19411960704</v>
      </c>
      <c r="U362" s="19">
        <f t="shared" si="43"/>
        <v>222638.51038210862</v>
      </c>
    </row>
    <row r="363" spans="1:21" x14ac:dyDescent="0.2">
      <c r="A363">
        <v>360</v>
      </c>
      <c r="B363" s="19">
        <f>Finanzierung!$B$5</f>
        <v>3200.0000000000005</v>
      </c>
      <c r="C363" s="19">
        <f t="shared" si="40"/>
        <v>156828.80263725933</v>
      </c>
      <c r="D363" s="19">
        <f>C363*Finanzierung!$B$3/100/12</f>
        <v>418.21014036602492</v>
      </c>
      <c r="E363" s="19">
        <f t="shared" si="47"/>
        <v>2781.7898596339755</v>
      </c>
      <c r="J363">
        <v>360</v>
      </c>
      <c r="K363" s="19">
        <f t="shared" si="44"/>
        <v>2240</v>
      </c>
      <c r="L363" s="19">
        <f t="shared" si="45"/>
        <v>735665.53743417794</v>
      </c>
      <c r="M363" s="19">
        <f>L363*Finanzierung!$B$3/100/12</f>
        <v>1961.7747664911412</v>
      </c>
      <c r="N363" s="19">
        <f t="shared" si="46"/>
        <v>278.22523350885876</v>
      </c>
      <c r="O363">
        <f>O362*(1+Finanzierung!$B$6/100/12)+$H$3</f>
        <v>964334.44075451326</v>
      </c>
      <c r="S363" s="22">
        <f t="shared" si="41"/>
        <v>30</v>
      </c>
      <c r="T363" s="19">
        <f t="shared" si="42"/>
        <v>-156828.80263725933</v>
      </c>
      <c r="U363" s="19">
        <f t="shared" si="43"/>
        <v>228668.90332033532</v>
      </c>
    </row>
    <row r="364" spans="1:21" x14ac:dyDescent="0.2">
      <c r="A364">
        <v>361</v>
      </c>
      <c r="B364" s="19">
        <f>Finanzierung!$B$5</f>
        <v>3200.0000000000005</v>
      </c>
      <c r="C364" s="19">
        <f t="shared" si="40"/>
        <v>154047.01277762535</v>
      </c>
      <c r="D364" s="19">
        <f>C364*Finanzierung!$B$3/100/12</f>
        <v>410.79203407366759</v>
      </c>
      <c r="E364" s="19">
        <f t="shared" si="47"/>
        <v>2789.2079659263327</v>
      </c>
      <c r="J364">
        <v>361</v>
      </c>
      <c r="K364" s="19">
        <f t="shared" si="44"/>
        <v>2240</v>
      </c>
      <c r="L364" s="19">
        <f t="shared" si="45"/>
        <v>735387.31220066908</v>
      </c>
      <c r="M364" s="19">
        <f>L364*Finanzierung!$B$3/100/12</f>
        <v>1961.0328325351177</v>
      </c>
      <c r="N364" s="19">
        <f t="shared" si="46"/>
        <v>278.96716746488232</v>
      </c>
      <c r="O364">
        <f>O363*(1+Finanzierung!$B$6/100/12)+$H$3</f>
        <v>970116.11295828572</v>
      </c>
      <c r="S364" s="22">
        <f t="shared" si="41"/>
        <v>30.083333333333332</v>
      </c>
      <c r="T364" s="19">
        <f t="shared" si="42"/>
        <v>-154047.01277762535</v>
      </c>
      <c r="U364" s="19">
        <f t="shared" si="43"/>
        <v>234728.80075761664</v>
      </c>
    </row>
    <row r="365" spans="1:21" x14ac:dyDescent="0.2">
      <c r="A365">
        <v>362</v>
      </c>
      <c r="B365" s="19">
        <f>Finanzierung!$B$5</f>
        <v>3200.0000000000005</v>
      </c>
      <c r="C365" s="19">
        <f t="shared" si="40"/>
        <v>151257.80481169902</v>
      </c>
      <c r="D365" s="19">
        <f>C365*Finanzierung!$B$3/100/12</f>
        <v>403.35414616453073</v>
      </c>
      <c r="E365" s="19">
        <f t="shared" si="47"/>
        <v>2796.6458538354696</v>
      </c>
      <c r="J365">
        <v>362</v>
      </c>
      <c r="K365" s="19">
        <f t="shared" si="44"/>
        <v>2240</v>
      </c>
      <c r="L365" s="19">
        <f t="shared" si="45"/>
        <v>735108.34503320418</v>
      </c>
      <c r="M365" s="19">
        <f>L365*Finanzierung!$B$3/100/12</f>
        <v>1960.2889200885447</v>
      </c>
      <c r="N365" s="19">
        <f t="shared" si="46"/>
        <v>279.71107991145527</v>
      </c>
      <c r="O365">
        <f>O364*(1+Finanzierung!$B$6/100/12)+$H$3</f>
        <v>975926.69352307706</v>
      </c>
      <c r="S365" s="22">
        <f t="shared" si="41"/>
        <v>30.166666666666668</v>
      </c>
      <c r="T365" s="19">
        <f t="shared" si="42"/>
        <v>-151257.80481169902</v>
      </c>
      <c r="U365" s="19">
        <f t="shared" si="43"/>
        <v>240818.34848987288</v>
      </c>
    </row>
    <row r="366" spans="1:21" x14ac:dyDescent="0.2">
      <c r="A366">
        <v>363</v>
      </c>
      <c r="B366" s="19">
        <f>Finanzierung!$B$5</f>
        <v>3200.0000000000005</v>
      </c>
      <c r="C366" s="19">
        <f t="shared" si="40"/>
        <v>148461.15895786355</v>
      </c>
      <c r="D366" s="19">
        <f>C366*Finanzierung!$B$3/100/12</f>
        <v>395.8964238876361</v>
      </c>
      <c r="E366" s="19">
        <f t="shared" si="47"/>
        <v>2804.1035761123644</v>
      </c>
      <c r="J366">
        <v>363</v>
      </c>
      <c r="K366" s="19">
        <f t="shared" si="44"/>
        <v>2240</v>
      </c>
      <c r="L366" s="19">
        <f t="shared" si="45"/>
        <v>734828.63395329274</v>
      </c>
      <c r="M366" s="19">
        <f>L366*Finanzierung!$B$3/100/12</f>
        <v>1959.5430238754473</v>
      </c>
      <c r="N366" s="19">
        <f t="shared" si="46"/>
        <v>280.45697612455274</v>
      </c>
      <c r="O366">
        <f>O365*(1+Finanzierung!$B$6/100/12)+$H$3</f>
        <v>981766.32699069229</v>
      </c>
      <c r="S366" s="22">
        <f t="shared" si="41"/>
        <v>30.25</v>
      </c>
      <c r="T366" s="19">
        <f t="shared" si="42"/>
        <v>-148461.15895786355</v>
      </c>
      <c r="U366" s="19">
        <f t="shared" si="43"/>
        <v>246937.69303739956</v>
      </c>
    </row>
    <row r="367" spans="1:21" x14ac:dyDescent="0.2">
      <c r="A367">
        <v>364</v>
      </c>
      <c r="B367" s="19">
        <f>Finanzierung!$B$5</f>
        <v>3200.0000000000005</v>
      </c>
      <c r="C367" s="19">
        <f t="shared" si="40"/>
        <v>145657.05538175118</v>
      </c>
      <c r="D367" s="19">
        <f>C367*Finanzierung!$B$3/100/12</f>
        <v>388.41881435133655</v>
      </c>
      <c r="E367" s="19">
        <f t="shared" si="47"/>
        <v>2811.5811856486639</v>
      </c>
      <c r="J367">
        <v>364</v>
      </c>
      <c r="K367" s="19">
        <f t="shared" si="44"/>
        <v>2240</v>
      </c>
      <c r="L367" s="19">
        <f t="shared" si="45"/>
        <v>734548.17697716819</v>
      </c>
      <c r="M367" s="19">
        <f>L367*Finanzierung!$B$3/100/12</f>
        <v>1958.7951386057819</v>
      </c>
      <c r="N367" s="19">
        <f t="shared" si="46"/>
        <v>281.20486139421814</v>
      </c>
      <c r="O367">
        <f>O366*(1+Finanzierung!$B$6/100/12)+$H$3</f>
        <v>987635.15862564568</v>
      </c>
      <c r="S367" s="22">
        <f t="shared" si="41"/>
        <v>30.333333333333332</v>
      </c>
      <c r="T367" s="19">
        <f t="shared" si="42"/>
        <v>-145657.05538175118</v>
      </c>
      <c r="U367" s="19">
        <f t="shared" si="43"/>
        <v>253086.98164847749</v>
      </c>
    </row>
    <row r="368" spans="1:21" x14ac:dyDescent="0.2">
      <c r="A368">
        <v>365</v>
      </c>
      <c r="B368" s="19">
        <f>Finanzierung!$B$5</f>
        <v>3200.0000000000005</v>
      </c>
      <c r="C368" s="19">
        <f t="shared" si="40"/>
        <v>142845.47419610253</v>
      </c>
      <c r="D368" s="19">
        <f>C368*Finanzierung!$B$3/100/12</f>
        <v>380.92126452294013</v>
      </c>
      <c r="E368" s="19">
        <f t="shared" si="47"/>
        <v>2819.0787354770605</v>
      </c>
      <c r="J368">
        <v>365</v>
      </c>
      <c r="K368" s="19">
        <f t="shared" si="44"/>
        <v>2240</v>
      </c>
      <c r="L368" s="19">
        <f t="shared" si="45"/>
        <v>734266.97211577394</v>
      </c>
      <c r="M368" s="19">
        <f>L368*Finanzierung!$B$3/100/12</f>
        <v>1958.0452589753975</v>
      </c>
      <c r="N368" s="19">
        <f t="shared" si="46"/>
        <v>281.95474102460253</v>
      </c>
      <c r="O368">
        <f>O367*(1+Finanzierung!$B$6/100/12)+$H$3</f>
        <v>993533.33441877377</v>
      </c>
      <c r="S368" s="22">
        <f t="shared" si="41"/>
        <v>30.416666666666668</v>
      </c>
      <c r="T368" s="19">
        <f t="shared" si="42"/>
        <v>-142845.47419610253</v>
      </c>
      <c r="U368" s="19">
        <f t="shared" si="43"/>
        <v>259266.36230299983</v>
      </c>
    </row>
    <row r="369" spans="1:21" x14ac:dyDescent="0.2">
      <c r="A369">
        <v>366</v>
      </c>
      <c r="B369" s="19">
        <f>Finanzierung!$B$5</f>
        <v>3200.0000000000005</v>
      </c>
      <c r="C369" s="19">
        <f t="shared" si="40"/>
        <v>140026.39546062547</v>
      </c>
      <c r="D369" s="19">
        <f>C369*Finanzierung!$B$3/100/12</f>
        <v>373.40372122833463</v>
      </c>
      <c r="E369" s="19">
        <f t="shared" si="47"/>
        <v>2826.5962787716658</v>
      </c>
      <c r="J369">
        <v>366</v>
      </c>
      <c r="K369" s="19">
        <f t="shared" si="44"/>
        <v>2240</v>
      </c>
      <c r="L369" s="19">
        <f t="shared" si="45"/>
        <v>733985.0173747493</v>
      </c>
      <c r="M369" s="19">
        <f>L369*Finanzierung!$B$3/100/12</f>
        <v>1957.2933796659981</v>
      </c>
      <c r="N369" s="19">
        <f t="shared" si="46"/>
        <v>282.70662033400185</v>
      </c>
      <c r="O369">
        <f>O368*(1+Finanzierung!$B$6/100/12)+$H$3</f>
        <v>999461.00109086756</v>
      </c>
      <c r="S369" s="22">
        <f t="shared" si="41"/>
        <v>30.5</v>
      </c>
      <c r="T369" s="19">
        <f t="shared" si="42"/>
        <v>-140026.39546062547</v>
      </c>
      <c r="U369" s="19">
        <f t="shared" si="43"/>
        <v>265475.98371611827</v>
      </c>
    </row>
    <row r="370" spans="1:21" x14ac:dyDescent="0.2">
      <c r="A370">
        <v>367</v>
      </c>
      <c r="B370" s="19">
        <f>Finanzierung!$B$5</f>
        <v>3200.0000000000005</v>
      </c>
      <c r="C370" s="19">
        <f t="shared" si="40"/>
        <v>137199.7991818538</v>
      </c>
      <c r="D370" s="19">
        <f>C370*Finanzierung!$B$3/100/12</f>
        <v>365.8661311516102</v>
      </c>
      <c r="E370" s="19">
        <f t="shared" si="47"/>
        <v>2834.1338688483902</v>
      </c>
      <c r="J370">
        <v>367</v>
      </c>
      <c r="K370" s="19">
        <f t="shared" si="44"/>
        <v>2240</v>
      </c>
      <c r="L370" s="19">
        <f t="shared" si="45"/>
        <v>733702.31075441535</v>
      </c>
      <c r="M370" s="19">
        <f>L370*Finanzierung!$B$3/100/12</f>
        <v>1956.5394953451078</v>
      </c>
      <c r="N370" s="19">
        <f t="shared" si="46"/>
        <v>283.46050465489225</v>
      </c>
      <c r="O370">
        <f>O369*(1+Finanzierung!$B$6/100/12)+$H$3</f>
        <v>1005418.3060963218</v>
      </c>
      <c r="S370" s="22">
        <f t="shared" si="41"/>
        <v>30.583333333333332</v>
      </c>
      <c r="T370" s="19">
        <f t="shared" si="42"/>
        <v>-137199.7991818538</v>
      </c>
      <c r="U370" s="19">
        <f t="shared" si="43"/>
        <v>271715.99534190644</v>
      </c>
    </row>
    <row r="371" spans="1:21" x14ac:dyDescent="0.2">
      <c r="A371">
        <v>368</v>
      </c>
      <c r="B371" s="19">
        <f>Finanzierung!$B$5</f>
        <v>3200.0000000000005</v>
      </c>
      <c r="C371" s="19">
        <f t="shared" si="40"/>
        <v>134365.66531300542</v>
      </c>
      <c r="D371" s="19">
        <f>C371*Finanzierung!$B$3/100/12</f>
        <v>358.30844083468111</v>
      </c>
      <c r="E371" s="19">
        <f t="shared" si="47"/>
        <v>2841.6915591653192</v>
      </c>
      <c r="J371">
        <v>368</v>
      </c>
      <c r="K371" s="19">
        <f t="shared" si="44"/>
        <v>2240</v>
      </c>
      <c r="L371" s="19">
        <f t="shared" si="45"/>
        <v>733418.85024976043</v>
      </c>
      <c r="M371" s="19">
        <f>L371*Finanzierung!$B$3/100/12</f>
        <v>1955.783600666028</v>
      </c>
      <c r="N371" s="19">
        <f t="shared" si="46"/>
        <v>284.21639933397205</v>
      </c>
      <c r="O371">
        <f>O370*(1+Finanzierung!$B$6/100/12)+$H$3</f>
        <v>1011405.3976268033</v>
      </c>
      <c r="S371" s="22">
        <f t="shared" si="41"/>
        <v>30.666666666666668</v>
      </c>
      <c r="T371" s="19">
        <f t="shared" si="42"/>
        <v>-134365.66531300542</v>
      </c>
      <c r="U371" s="19">
        <f t="shared" si="43"/>
        <v>277986.54737704282</v>
      </c>
    </row>
    <row r="372" spans="1:21" x14ac:dyDescent="0.2">
      <c r="A372">
        <v>369</v>
      </c>
      <c r="B372" s="19">
        <f>Finanzierung!$B$5</f>
        <v>3200.0000000000005</v>
      </c>
      <c r="C372" s="19">
        <f t="shared" si="40"/>
        <v>131523.97375384011</v>
      </c>
      <c r="D372" s="19">
        <f>C372*Finanzierung!$B$3/100/12</f>
        <v>350.73059667690694</v>
      </c>
      <c r="E372" s="19">
        <f t="shared" si="47"/>
        <v>2849.2694033230937</v>
      </c>
      <c r="J372">
        <v>369</v>
      </c>
      <c r="K372" s="19">
        <f t="shared" si="44"/>
        <v>2240</v>
      </c>
      <c r="L372" s="19">
        <f t="shared" si="45"/>
        <v>733134.63385042641</v>
      </c>
      <c r="M372" s="19">
        <f>L372*Finanzierung!$B$3/100/12</f>
        <v>1955.0256902678038</v>
      </c>
      <c r="N372" s="19">
        <f t="shared" si="46"/>
        <v>284.97430973219616</v>
      </c>
      <c r="O372">
        <f>O371*(1+Finanzierung!$B$6/100/12)+$H$3</f>
        <v>1017422.4246149372</v>
      </c>
      <c r="S372" s="22">
        <f t="shared" si="41"/>
        <v>30.75</v>
      </c>
      <c r="T372" s="19">
        <f t="shared" si="42"/>
        <v>-131523.97375384011</v>
      </c>
      <c r="U372" s="19">
        <f t="shared" si="43"/>
        <v>284287.79076451075</v>
      </c>
    </row>
    <row r="373" spans="1:21" x14ac:dyDescent="0.2">
      <c r="A373">
        <v>370</v>
      </c>
      <c r="B373" s="19">
        <f>Finanzierung!$B$5</f>
        <v>3200.0000000000005</v>
      </c>
      <c r="C373" s="19">
        <f t="shared" si="40"/>
        <v>128674.70435051701</v>
      </c>
      <c r="D373" s="19">
        <f>C373*Finanzierung!$B$3/100/12</f>
        <v>343.13254493471209</v>
      </c>
      <c r="E373" s="19">
        <f t="shared" si="47"/>
        <v>2856.8674550652886</v>
      </c>
      <c r="J373">
        <v>370</v>
      </c>
      <c r="K373" s="19">
        <f t="shared" si="44"/>
        <v>2240</v>
      </c>
      <c r="L373" s="19">
        <f t="shared" si="45"/>
        <v>732849.65954069421</v>
      </c>
      <c r="M373" s="19">
        <f>L373*Finanzierung!$B$3/100/12</f>
        <v>1954.2657587751846</v>
      </c>
      <c r="N373" s="19">
        <f t="shared" si="46"/>
        <v>285.73424122481538</v>
      </c>
      <c r="O373">
        <f>O372*(1+Finanzierung!$B$6/100/12)+$H$3</f>
        <v>1023469.5367380118</v>
      </c>
      <c r="S373" s="22">
        <f t="shared" si="41"/>
        <v>30.833333333333332</v>
      </c>
      <c r="T373" s="19">
        <f t="shared" si="42"/>
        <v>-128674.70435051701</v>
      </c>
      <c r="U373" s="19">
        <f t="shared" si="43"/>
        <v>290619.87719731755</v>
      </c>
    </row>
    <row r="374" spans="1:21" x14ac:dyDescent="0.2">
      <c r="A374">
        <v>371</v>
      </c>
      <c r="B374" s="19">
        <f>Finanzierung!$B$5</f>
        <v>3200.0000000000005</v>
      </c>
      <c r="C374" s="19">
        <f t="shared" si="40"/>
        <v>125817.83689545172</v>
      </c>
      <c r="D374" s="19">
        <f>C374*Finanzierung!$B$3/100/12</f>
        <v>335.51423172120462</v>
      </c>
      <c r="E374" s="19">
        <f t="shared" si="47"/>
        <v>2864.4857682787961</v>
      </c>
      <c r="J374">
        <v>371</v>
      </c>
      <c r="K374" s="19">
        <f t="shared" si="44"/>
        <v>2240</v>
      </c>
      <c r="L374" s="19">
        <f t="shared" si="45"/>
        <v>732563.92529946938</v>
      </c>
      <c r="M374" s="19">
        <f>L374*Finanzierung!$B$3/100/12</f>
        <v>1953.503800798585</v>
      </c>
      <c r="N374" s="19">
        <f t="shared" si="46"/>
        <v>286.49619920141504</v>
      </c>
      <c r="O374">
        <f>O373*(1+Finanzierung!$B$6/100/12)+$H$3</f>
        <v>1029546.8844217017</v>
      </c>
      <c r="S374" s="22">
        <f t="shared" si="41"/>
        <v>30.916666666666668</v>
      </c>
      <c r="T374" s="19">
        <f t="shared" si="42"/>
        <v>-125817.83689545172</v>
      </c>
      <c r="U374" s="19">
        <f t="shared" si="43"/>
        <v>296982.95912223228</v>
      </c>
    </row>
    <row r="375" spans="1:21" x14ac:dyDescent="0.2">
      <c r="A375">
        <v>372</v>
      </c>
      <c r="B375" s="19">
        <f>Finanzierung!$B$5</f>
        <v>3200.0000000000005</v>
      </c>
      <c r="C375" s="19">
        <f t="shared" si="40"/>
        <v>122953.35112717292</v>
      </c>
      <c r="D375" s="19">
        <f>C375*Finanzierung!$B$3/100/12</f>
        <v>327.87560300579452</v>
      </c>
      <c r="E375" s="19">
        <f t="shared" si="47"/>
        <v>2872.1243969942061</v>
      </c>
      <c r="J375">
        <v>372</v>
      </c>
      <c r="K375" s="19">
        <f t="shared" si="44"/>
        <v>2240</v>
      </c>
      <c r="L375" s="19">
        <f t="shared" si="45"/>
        <v>732277.42910026794</v>
      </c>
      <c r="M375" s="19">
        <f>L375*Finanzierung!$B$3/100/12</f>
        <v>1952.7398109340477</v>
      </c>
      <c r="N375" s="19">
        <f t="shared" si="46"/>
        <v>287.26018906595232</v>
      </c>
      <c r="O375">
        <f>O374*(1+Finanzierung!$B$6/100/12)+$H$3</f>
        <v>1035654.6188438101</v>
      </c>
      <c r="S375" s="22">
        <f t="shared" si="41"/>
        <v>31</v>
      </c>
      <c r="T375" s="19">
        <f t="shared" si="42"/>
        <v>-122953.35112717292</v>
      </c>
      <c r="U375" s="19">
        <f t="shared" si="43"/>
        <v>303377.18974354211</v>
      </c>
    </row>
    <row r="376" spans="1:21" x14ac:dyDescent="0.2">
      <c r="A376">
        <v>373</v>
      </c>
      <c r="B376" s="19">
        <f>Finanzierung!$B$5</f>
        <v>3200.0000000000005</v>
      </c>
      <c r="C376" s="19">
        <f t="shared" si="40"/>
        <v>120081.22673017872</v>
      </c>
      <c r="D376" s="19">
        <f>C376*Finanzierung!$B$3/100/12</f>
        <v>320.21660461380992</v>
      </c>
      <c r="E376" s="19">
        <f t="shared" si="47"/>
        <v>2879.7833953861905</v>
      </c>
      <c r="J376">
        <v>373</v>
      </c>
      <c r="K376" s="19">
        <f t="shared" si="44"/>
        <v>2240</v>
      </c>
      <c r="L376" s="19">
        <f t="shared" si="45"/>
        <v>731990.168911202</v>
      </c>
      <c r="M376" s="19">
        <f>L376*Finanzierung!$B$3/100/12</f>
        <v>1951.9737837632056</v>
      </c>
      <c r="N376" s="19">
        <f t="shared" si="46"/>
        <v>288.02621623679443</v>
      </c>
      <c r="O376">
        <f>O375*(1+Finanzierung!$B$6/100/12)+$H$3</f>
        <v>1041792.891938029</v>
      </c>
      <c r="S376" s="22">
        <f t="shared" si="41"/>
        <v>31.083333333333332</v>
      </c>
      <c r="T376" s="19">
        <f t="shared" si="42"/>
        <v>-120081.22673017872</v>
      </c>
      <c r="U376" s="19">
        <f t="shared" si="43"/>
        <v>309802.72302682698</v>
      </c>
    </row>
    <row r="377" spans="1:21" x14ac:dyDescent="0.2">
      <c r="A377">
        <v>374</v>
      </c>
      <c r="B377" s="19">
        <f>Finanzierung!$B$5</f>
        <v>3200.0000000000005</v>
      </c>
      <c r="C377" s="19">
        <f t="shared" si="40"/>
        <v>117201.44333479254</v>
      </c>
      <c r="D377" s="19">
        <f>C377*Finanzierung!$B$3/100/12</f>
        <v>312.53718222611343</v>
      </c>
      <c r="E377" s="19">
        <f t="shared" si="47"/>
        <v>2887.4628177738869</v>
      </c>
      <c r="J377">
        <v>374</v>
      </c>
      <c r="K377" s="19">
        <f t="shared" si="44"/>
        <v>2240</v>
      </c>
      <c r="L377" s="19">
        <f t="shared" si="45"/>
        <v>731702.14269496524</v>
      </c>
      <c r="M377" s="19">
        <f>L377*Finanzierung!$B$3/100/12</f>
        <v>1951.2057138532409</v>
      </c>
      <c r="N377" s="19">
        <f t="shared" si="46"/>
        <v>288.79428614675908</v>
      </c>
      <c r="O377">
        <f>O376*(1+Finanzierung!$B$6/100/12)+$H$3</f>
        <v>1047961.856397719</v>
      </c>
      <c r="S377" s="22">
        <f t="shared" si="41"/>
        <v>31.166666666666668</v>
      </c>
      <c r="T377" s="19">
        <f t="shared" si="42"/>
        <v>-117201.44333479254</v>
      </c>
      <c r="U377" s="19">
        <f t="shared" si="43"/>
        <v>316259.71370275377</v>
      </c>
    </row>
    <row r="378" spans="1:21" x14ac:dyDescent="0.2">
      <c r="A378">
        <v>375</v>
      </c>
      <c r="B378" s="19">
        <f>Finanzierung!$B$5</f>
        <v>3200.0000000000005</v>
      </c>
      <c r="C378" s="19">
        <f t="shared" si="40"/>
        <v>114313.98051701864</v>
      </c>
      <c r="D378" s="19">
        <f>C378*Finanzierung!$B$3/100/12</f>
        <v>304.8372813787164</v>
      </c>
      <c r="E378" s="19">
        <f t="shared" si="47"/>
        <v>2895.1627186212841</v>
      </c>
      <c r="J378">
        <v>375</v>
      </c>
      <c r="K378" s="19">
        <f t="shared" si="44"/>
        <v>2240</v>
      </c>
      <c r="L378" s="19">
        <f t="shared" si="45"/>
        <v>731413.34840881848</v>
      </c>
      <c r="M378" s="19">
        <f>L378*Finanzierung!$B$3/100/12</f>
        <v>1950.4355957568496</v>
      </c>
      <c r="N378" s="19">
        <f t="shared" si="46"/>
        <v>289.56440424315042</v>
      </c>
      <c r="O378">
        <f>O377*(1+Finanzierung!$B$6/100/12)+$H$3</f>
        <v>1054161.6656797074</v>
      </c>
      <c r="S378" s="22">
        <f t="shared" si="41"/>
        <v>31.25</v>
      </c>
      <c r="T378" s="19">
        <f t="shared" si="42"/>
        <v>-114313.98051701864</v>
      </c>
      <c r="U378" s="19">
        <f t="shared" si="43"/>
        <v>322748.31727088895</v>
      </c>
    </row>
    <row r="379" spans="1:21" x14ac:dyDescent="0.2">
      <c r="A379">
        <v>376</v>
      </c>
      <c r="B379" s="19">
        <f>Finanzierung!$B$5</f>
        <v>3200.0000000000005</v>
      </c>
      <c r="C379" s="19">
        <f t="shared" si="40"/>
        <v>111418.81779839736</v>
      </c>
      <c r="D379" s="19">
        <f>C379*Finanzierung!$B$3/100/12</f>
        <v>297.11684746239297</v>
      </c>
      <c r="E379" s="19">
        <f t="shared" si="47"/>
        <v>2902.8831525376077</v>
      </c>
      <c r="J379">
        <v>376</v>
      </c>
      <c r="K379" s="19">
        <f t="shared" si="44"/>
        <v>2240</v>
      </c>
      <c r="L379" s="19">
        <f t="shared" si="45"/>
        <v>731123.78400457534</v>
      </c>
      <c r="M379" s="19">
        <f>L379*Finanzierung!$B$3/100/12</f>
        <v>1949.6634240122012</v>
      </c>
      <c r="N379" s="19">
        <f t="shared" si="46"/>
        <v>290.33657598779882</v>
      </c>
      <c r="O379">
        <f>O378*(1+Finanzierung!$B$6/100/12)+$H$3</f>
        <v>1060392.4740081059</v>
      </c>
      <c r="S379" s="22">
        <f t="shared" si="41"/>
        <v>31.333333333333332</v>
      </c>
      <c r="T379" s="19">
        <f t="shared" si="42"/>
        <v>-111418.81779839736</v>
      </c>
      <c r="U379" s="19">
        <f t="shared" si="43"/>
        <v>329268.69000353059</v>
      </c>
    </row>
    <row r="380" spans="1:21" x14ac:dyDescent="0.2">
      <c r="A380">
        <v>377</v>
      </c>
      <c r="B380" s="19">
        <f>Finanzierung!$B$5</f>
        <v>3200.0000000000005</v>
      </c>
      <c r="C380" s="19">
        <f t="shared" ref="C380:C443" si="48">C379-E379</f>
        <v>108515.93464585976</v>
      </c>
      <c r="D380" s="19">
        <f>C380*Finanzierung!$B$3/100/12</f>
        <v>289.37582572229269</v>
      </c>
      <c r="E380" s="19">
        <f t="shared" si="47"/>
        <v>2910.6241742777079</v>
      </c>
      <c r="J380">
        <v>377</v>
      </c>
      <c r="K380" s="19">
        <f t="shared" si="44"/>
        <v>2240</v>
      </c>
      <c r="L380" s="19">
        <f t="shared" si="45"/>
        <v>730833.44742858759</v>
      </c>
      <c r="M380" s="19">
        <f>L380*Finanzierung!$B$3/100/12</f>
        <v>1948.8891931429005</v>
      </c>
      <c r="N380" s="19">
        <f t="shared" si="46"/>
        <v>291.11080685709953</v>
      </c>
      <c r="O380">
        <f>O379*(1+Finanzierung!$B$6/100/12)+$H$3</f>
        <v>1066654.4363781463</v>
      </c>
      <c r="S380" s="22">
        <f t="shared" si="41"/>
        <v>31.416666666666668</v>
      </c>
      <c r="T380" s="19">
        <f t="shared" si="42"/>
        <v>-108515.93464585976</v>
      </c>
      <c r="U380" s="19">
        <f t="shared" si="43"/>
        <v>335820.9889495587</v>
      </c>
    </row>
    <row r="381" spans="1:21" x14ac:dyDescent="0.2">
      <c r="A381">
        <v>378</v>
      </c>
      <c r="B381" s="19">
        <f>Finanzierung!$B$5</f>
        <v>3200.0000000000005</v>
      </c>
      <c r="C381" s="19">
        <f t="shared" si="48"/>
        <v>105605.31047158205</v>
      </c>
      <c r="D381" s="19">
        <f>C381*Finanzierung!$B$3/100/12</f>
        <v>281.61416125755215</v>
      </c>
      <c r="E381" s="19">
        <f t="shared" si="47"/>
        <v>2918.3858387424484</v>
      </c>
      <c r="J381">
        <v>378</v>
      </c>
      <c r="K381" s="19">
        <f t="shared" si="44"/>
        <v>2240</v>
      </c>
      <c r="L381" s="19">
        <f t="shared" si="45"/>
        <v>730542.33662173047</v>
      </c>
      <c r="M381" s="19">
        <f>L381*Finanzierung!$B$3/100/12</f>
        <v>1948.1128976579482</v>
      </c>
      <c r="N381" s="19">
        <f t="shared" si="46"/>
        <v>291.88710234205178</v>
      </c>
      <c r="O381">
        <f>O380*(1+Finanzierung!$B$6/100/12)+$H$3</f>
        <v>1072947.708560037</v>
      </c>
      <c r="S381" s="22">
        <f t="shared" si="41"/>
        <v>31.5</v>
      </c>
      <c r="T381" s="19">
        <f t="shared" si="42"/>
        <v>-105605.31047158205</v>
      </c>
      <c r="U381" s="19">
        <f t="shared" si="43"/>
        <v>342405.37193830649</v>
      </c>
    </row>
    <row r="382" spans="1:21" x14ac:dyDescent="0.2">
      <c r="A382">
        <v>379</v>
      </c>
      <c r="B382" s="19">
        <f>Finanzierung!$B$5</f>
        <v>3200.0000000000005</v>
      </c>
      <c r="C382" s="19">
        <f t="shared" si="48"/>
        <v>102686.9246328396</v>
      </c>
      <c r="D382" s="19">
        <f>C382*Finanzierung!$B$3/100/12</f>
        <v>273.83179902090563</v>
      </c>
      <c r="E382" s="19">
        <f t="shared" si="47"/>
        <v>2926.1682009790948</v>
      </c>
      <c r="J382">
        <v>379</v>
      </c>
      <c r="K382" s="19">
        <f t="shared" si="44"/>
        <v>2240</v>
      </c>
      <c r="L382" s="19">
        <f t="shared" si="45"/>
        <v>730250.44951938838</v>
      </c>
      <c r="M382" s="19">
        <f>L382*Finanzierung!$B$3/100/12</f>
        <v>1947.3345320517021</v>
      </c>
      <c r="N382" s="19">
        <f t="shared" si="46"/>
        <v>292.66546794829787</v>
      </c>
      <c r="O382">
        <f>O381*(1+Finanzierung!$B$6/100/12)+$H$3</f>
        <v>1079272.447102837</v>
      </c>
      <c r="S382" s="22">
        <f t="shared" si="41"/>
        <v>31.583333333333332</v>
      </c>
      <c r="T382" s="19">
        <f t="shared" si="42"/>
        <v>-102686.9246328396</v>
      </c>
      <c r="U382" s="19">
        <f t="shared" si="43"/>
        <v>349021.99758344865</v>
      </c>
    </row>
    <row r="383" spans="1:21" x14ac:dyDescent="0.2">
      <c r="A383">
        <v>380</v>
      </c>
      <c r="B383" s="19">
        <f>Finanzierung!$B$5</f>
        <v>3200.0000000000005</v>
      </c>
      <c r="C383" s="19">
        <f t="shared" si="48"/>
        <v>99760.7564318605</v>
      </c>
      <c r="D383" s="19">
        <f>C383*Finanzierung!$B$3/100/12</f>
        <v>266.02868381829467</v>
      </c>
      <c r="E383" s="19">
        <f t="shared" si="47"/>
        <v>2933.9713161817058</v>
      </c>
      <c r="J383">
        <v>380</v>
      </c>
      <c r="K383" s="19">
        <f t="shared" si="44"/>
        <v>2240</v>
      </c>
      <c r="L383" s="19">
        <f t="shared" si="45"/>
        <v>729957.78405144007</v>
      </c>
      <c r="M383" s="19">
        <f>L383*Finanzierung!$B$3/100/12</f>
        <v>1946.5540908038402</v>
      </c>
      <c r="N383" s="19">
        <f t="shared" si="46"/>
        <v>293.44590919615985</v>
      </c>
      <c r="O383">
        <f>O382*(1+Finanzierung!$B$6/100/12)+$H$3</f>
        <v>1085628.809338351</v>
      </c>
      <c r="S383" s="22">
        <f t="shared" si="41"/>
        <v>31.666666666666668</v>
      </c>
      <c r="T383" s="19">
        <f t="shared" si="42"/>
        <v>-99760.7564318605</v>
      </c>
      <c r="U383" s="19">
        <f t="shared" si="43"/>
        <v>355671.02528691094</v>
      </c>
    </row>
    <row r="384" spans="1:21" x14ac:dyDescent="0.2">
      <c r="A384">
        <v>381</v>
      </c>
      <c r="B384" s="19">
        <f>Finanzierung!$B$5</f>
        <v>3200.0000000000005</v>
      </c>
      <c r="C384" s="19">
        <f t="shared" si="48"/>
        <v>96826.785115678795</v>
      </c>
      <c r="D384" s="19">
        <f>C384*Finanzierung!$B$3/100/12</f>
        <v>258.20476030847675</v>
      </c>
      <c r="E384" s="19">
        <f t="shared" si="47"/>
        <v>2941.7952396915239</v>
      </c>
      <c r="J384">
        <v>381</v>
      </c>
      <c r="K384" s="19">
        <f t="shared" si="44"/>
        <v>2240</v>
      </c>
      <c r="L384" s="19">
        <f t="shared" si="45"/>
        <v>729664.33814224391</v>
      </c>
      <c r="M384" s="19">
        <f>L384*Finanzierung!$B$3/100/12</f>
        <v>1945.7715683793174</v>
      </c>
      <c r="N384" s="19">
        <f t="shared" si="46"/>
        <v>294.22843162068261</v>
      </c>
      <c r="O384">
        <f>O383*(1+Finanzierung!$B$6/100/12)+$H$3</f>
        <v>1092016.9533850427</v>
      </c>
      <c r="S384" s="22">
        <f t="shared" si="41"/>
        <v>31.75</v>
      </c>
      <c r="T384" s="19">
        <f t="shared" si="42"/>
        <v>-96826.785115678795</v>
      </c>
      <c r="U384" s="19">
        <f t="shared" si="43"/>
        <v>362352.61524279881</v>
      </c>
    </row>
    <row r="385" spans="1:21" x14ac:dyDescent="0.2">
      <c r="A385">
        <v>382</v>
      </c>
      <c r="B385" s="19">
        <f>Finanzierung!$B$5</f>
        <v>3200.0000000000005</v>
      </c>
      <c r="C385" s="19">
        <f t="shared" si="48"/>
        <v>93884.989875987274</v>
      </c>
      <c r="D385" s="19">
        <f>C385*Finanzierung!$B$3/100/12</f>
        <v>250.35997300263276</v>
      </c>
      <c r="E385" s="19">
        <f t="shared" si="47"/>
        <v>2949.6400269973678</v>
      </c>
      <c r="J385">
        <v>382</v>
      </c>
      <c r="K385" s="19">
        <f t="shared" si="44"/>
        <v>2240</v>
      </c>
      <c r="L385" s="19">
        <f t="shared" si="45"/>
        <v>729370.10971062328</v>
      </c>
      <c r="M385" s="19">
        <f>L385*Finanzierung!$B$3/100/12</f>
        <v>1944.9869592283292</v>
      </c>
      <c r="N385" s="19">
        <f t="shared" si="46"/>
        <v>295.01304077167083</v>
      </c>
      <c r="O385">
        <f>O384*(1+Finanzierung!$B$6/100/12)+$H$3</f>
        <v>1098437.0381519678</v>
      </c>
      <c r="S385" s="22">
        <f t="shared" si="41"/>
        <v>31.833333333333332</v>
      </c>
      <c r="T385" s="19">
        <f t="shared" si="42"/>
        <v>-93884.989875987274</v>
      </c>
      <c r="U385" s="19">
        <f t="shared" si="43"/>
        <v>369066.92844134453</v>
      </c>
    </row>
    <row r="386" spans="1:21" x14ac:dyDescent="0.2">
      <c r="A386">
        <v>383</v>
      </c>
      <c r="B386" s="19">
        <f>Finanzierung!$B$5</f>
        <v>3200.0000000000005</v>
      </c>
      <c r="C386" s="19">
        <f t="shared" si="48"/>
        <v>90935.349848989907</v>
      </c>
      <c r="D386" s="19">
        <f>C386*Finanzierung!$B$3/100/12</f>
        <v>242.49426626397312</v>
      </c>
      <c r="E386" s="19">
        <f t="shared" si="47"/>
        <v>2957.5057337360272</v>
      </c>
      <c r="J386">
        <v>383</v>
      </c>
      <c r="K386" s="19">
        <f t="shared" si="44"/>
        <v>2240</v>
      </c>
      <c r="L386" s="19">
        <f t="shared" si="45"/>
        <v>729075.09666985157</v>
      </c>
      <c r="M386" s="19">
        <f>L386*Finanzierung!$B$3/100/12</f>
        <v>1944.2002577862711</v>
      </c>
      <c r="N386" s="19">
        <f t="shared" si="46"/>
        <v>295.7997422137289</v>
      </c>
      <c r="O386">
        <f>O385*(1+Finanzierung!$B$6/100/12)+$H$3</f>
        <v>1104889.2233427276</v>
      </c>
      <c r="S386" s="22">
        <f t="shared" si="41"/>
        <v>31.916666666666668</v>
      </c>
      <c r="T386" s="19">
        <f t="shared" si="42"/>
        <v>-90935.349848989907</v>
      </c>
      <c r="U386" s="19">
        <f t="shared" si="43"/>
        <v>375814.12667287607</v>
      </c>
    </row>
    <row r="387" spans="1:21" x14ac:dyDescent="0.2">
      <c r="A387">
        <v>384</v>
      </c>
      <c r="B387" s="19">
        <f>Finanzierung!$B$5</f>
        <v>3200.0000000000005</v>
      </c>
      <c r="C387" s="19">
        <f t="shared" si="48"/>
        <v>87977.844115253873</v>
      </c>
      <c r="D387" s="19">
        <f>C387*Finanzierung!$B$3/100/12</f>
        <v>234.6075843073437</v>
      </c>
      <c r="E387" s="19">
        <f t="shared" si="47"/>
        <v>2965.3924156926569</v>
      </c>
      <c r="J387">
        <v>384</v>
      </c>
      <c r="K387" s="19">
        <f t="shared" si="44"/>
        <v>2240</v>
      </c>
      <c r="L387" s="19">
        <f t="shared" si="45"/>
        <v>728779.29692763789</v>
      </c>
      <c r="M387" s="19">
        <f>L387*Finanzierung!$B$3/100/12</f>
        <v>1943.411458473701</v>
      </c>
      <c r="N387" s="19">
        <f t="shared" si="46"/>
        <v>296.58854152629897</v>
      </c>
      <c r="O387">
        <f>O386*(1+Finanzierung!$B$6/100/12)+$H$3</f>
        <v>1111373.6694594412</v>
      </c>
      <c r="S387" s="22">
        <f t="shared" si="41"/>
        <v>32</v>
      </c>
      <c r="T387" s="19">
        <f t="shared" si="42"/>
        <v>-87977.844115253873</v>
      </c>
      <c r="U387" s="19">
        <f t="shared" si="43"/>
        <v>382594.37253180332</v>
      </c>
    </row>
    <row r="388" spans="1:21" x14ac:dyDescent="0.2">
      <c r="A388">
        <v>385</v>
      </c>
      <c r="B388" s="19">
        <f>Finanzierung!$B$5</f>
        <v>3200.0000000000005</v>
      </c>
      <c r="C388" s="19">
        <f t="shared" si="48"/>
        <v>85012.451699561221</v>
      </c>
      <c r="D388" s="19">
        <f>C388*Finanzierung!$B$3/100/12</f>
        <v>226.69987119882992</v>
      </c>
      <c r="E388" s="19">
        <f t="shared" si="47"/>
        <v>2973.3001288011706</v>
      </c>
      <c r="J388">
        <v>385</v>
      </c>
      <c r="K388" s="19">
        <f t="shared" si="44"/>
        <v>2240</v>
      </c>
      <c r="L388" s="19">
        <f t="shared" si="45"/>
        <v>728482.70838611154</v>
      </c>
      <c r="M388" s="19">
        <f>L388*Finanzierung!$B$3/100/12</f>
        <v>1942.6205556962977</v>
      </c>
      <c r="N388" s="19">
        <f t="shared" si="46"/>
        <v>297.37944430370226</v>
      </c>
      <c r="O388">
        <f>O387*(1+Finanzierung!$B$6/100/12)+$H$3</f>
        <v>1117890.5378067384</v>
      </c>
      <c r="S388" s="22">
        <f t="shared" ref="S388:S451" si="49">J388/12</f>
        <v>32.083333333333336</v>
      </c>
      <c r="T388" s="19">
        <f t="shared" ref="T388:T451" si="50">-C388</f>
        <v>-85012.451699561221</v>
      </c>
      <c r="U388" s="19">
        <f t="shared" ref="U388:U451" si="51">O388-L388</f>
        <v>389407.82942062686</v>
      </c>
    </row>
    <row r="389" spans="1:21" x14ac:dyDescent="0.2">
      <c r="A389">
        <v>386</v>
      </c>
      <c r="B389" s="19">
        <f>Finanzierung!$B$5</f>
        <v>3200.0000000000005</v>
      </c>
      <c r="C389" s="19">
        <f t="shared" si="48"/>
        <v>82039.151570760048</v>
      </c>
      <c r="D389" s="19">
        <f>C389*Finanzierung!$B$3/100/12</f>
        <v>218.77107085536014</v>
      </c>
      <c r="E389" s="19">
        <f t="shared" si="47"/>
        <v>2981.2289291446405</v>
      </c>
      <c r="J389">
        <v>386</v>
      </c>
      <c r="K389" s="19">
        <f t="shared" ref="K389:K452" si="52">$H$1</f>
        <v>2240</v>
      </c>
      <c r="L389" s="19">
        <f t="shared" ref="L389:L452" si="53">L388-N388</f>
        <v>728185.32894180785</v>
      </c>
      <c r="M389" s="19">
        <f>L389*Finanzierung!$B$3/100/12</f>
        <v>1941.8275438448209</v>
      </c>
      <c r="N389" s="19">
        <f t="shared" ref="N389:N452" si="54">K389-M389</f>
        <v>298.17245615517913</v>
      </c>
      <c r="O389">
        <f>O388*(1+Finanzierung!$B$6/100/12)+$H$3</f>
        <v>1124439.9904957719</v>
      </c>
      <c r="S389" s="22">
        <f t="shared" si="49"/>
        <v>32.166666666666664</v>
      </c>
      <c r="T389" s="19">
        <f t="shared" si="50"/>
        <v>-82039.151570760048</v>
      </c>
      <c r="U389" s="19">
        <f t="shared" si="51"/>
        <v>396254.66155396402</v>
      </c>
    </row>
    <row r="390" spans="1:21" x14ac:dyDescent="0.2">
      <c r="A390">
        <v>387</v>
      </c>
      <c r="B390" s="19">
        <f>Finanzierung!$B$5</f>
        <v>3200.0000000000005</v>
      </c>
      <c r="C390" s="19">
        <f t="shared" si="48"/>
        <v>79057.922641615412</v>
      </c>
      <c r="D390" s="19">
        <f>C390*Finanzierung!$B$3/100/12</f>
        <v>210.82112704430779</v>
      </c>
      <c r="E390" s="19">
        <f t="shared" ref="E390:E453" si="55">B390-D390</f>
        <v>2989.1788729556929</v>
      </c>
      <c r="J390">
        <v>387</v>
      </c>
      <c r="K390" s="19">
        <f t="shared" si="52"/>
        <v>2240</v>
      </c>
      <c r="L390" s="19">
        <f t="shared" si="53"/>
        <v>727887.15648565267</v>
      </c>
      <c r="M390" s="19">
        <f>L390*Finanzierung!$B$3/100/12</f>
        <v>1941.0324172950739</v>
      </c>
      <c r="N390" s="19">
        <f t="shared" si="54"/>
        <v>298.96758270492614</v>
      </c>
      <c r="O390">
        <f>O389*(1+Finanzierung!$B$6/100/12)+$H$3</f>
        <v>1131022.1904482506</v>
      </c>
      <c r="S390" s="22">
        <f t="shared" si="49"/>
        <v>32.25</v>
      </c>
      <c r="T390" s="19">
        <f t="shared" si="50"/>
        <v>-79057.922641615412</v>
      </c>
      <c r="U390" s="19">
        <f t="shared" si="51"/>
        <v>403135.03396259795</v>
      </c>
    </row>
    <row r="391" spans="1:21" x14ac:dyDescent="0.2">
      <c r="A391">
        <v>388</v>
      </c>
      <c r="B391" s="19">
        <f>Finanzierung!$B$5</f>
        <v>3200.0000000000005</v>
      </c>
      <c r="C391" s="19">
        <f t="shared" si="48"/>
        <v>76068.743768659726</v>
      </c>
      <c r="D391" s="19">
        <f>C391*Finanzierung!$B$3/100/12</f>
        <v>202.84998338309262</v>
      </c>
      <c r="E391" s="19">
        <f t="shared" si="55"/>
        <v>2997.150016616908</v>
      </c>
      <c r="J391">
        <v>388</v>
      </c>
      <c r="K391" s="19">
        <f t="shared" si="52"/>
        <v>2240</v>
      </c>
      <c r="L391" s="19">
        <f t="shared" si="53"/>
        <v>727588.1889029477</v>
      </c>
      <c r="M391" s="19">
        <f>L391*Finanzierung!$B$3/100/12</f>
        <v>1940.2351704078608</v>
      </c>
      <c r="N391" s="19">
        <f t="shared" si="54"/>
        <v>299.76482959213922</v>
      </c>
      <c r="O391">
        <f>O390*(1+Finanzierung!$B$6/100/12)+$H$3</f>
        <v>1137637.3014004917</v>
      </c>
      <c r="S391" s="22">
        <f t="shared" si="49"/>
        <v>32.333333333333336</v>
      </c>
      <c r="T391" s="19">
        <f t="shared" si="50"/>
        <v>-76068.743768659726</v>
      </c>
      <c r="U391" s="19">
        <f t="shared" si="51"/>
        <v>410049.11249754403</v>
      </c>
    </row>
    <row r="392" spans="1:21" x14ac:dyDescent="0.2">
      <c r="A392">
        <v>389</v>
      </c>
      <c r="B392" s="19">
        <f>Finanzierung!$B$5</f>
        <v>3200.0000000000005</v>
      </c>
      <c r="C392" s="19">
        <f t="shared" si="48"/>
        <v>73071.593752042812</v>
      </c>
      <c r="D392" s="19">
        <f>C392*Finanzierung!$B$3/100/12</f>
        <v>194.85758333878084</v>
      </c>
      <c r="E392" s="19">
        <f t="shared" si="55"/>
        <v>3005.1424166612196</v>
      </c>
      <c r="J392">
        <v>389</v>
      </c>
      <c r="K392" s="19">
        <f t="shared" si="52"/>
        <v>2240</v>
      </c>
      <c r="L392" s="19">
        <f t="shared" si="53"/>
        <v>727288.42407335551</v>
      </c>
      <c r="M392" s="19">
        <f>L392*Finanzierung!$B$3/100/12</f>
        <v>1939.4357975289483</v>
      </c>
      <c r="N392" s="19">
        <f t="shared" si="54"/>
        <v>300.56420247105166</v>
      </c>
      <c r="O392">
        <f>O391*(1+Finanzierung!$B$6/100/12)+$H$3</f>
        <v>1144285.4879074942</v>
      </c>
      <c r="S392" s="22">
        <f t="shared" si="49"/>
        <v>32.416666666666664</v>
      </c>
      <c r="T392" s="19">
        <f t="shared" si="50"/>
        <v>-73071.593752042812</v>
      </c>
      <c r="U392" s="19">
        <f t="shared" si="51"/>
        <v>416997.06383413868</v>
      </c>
    </row>
    <row r="393" spans="1:21" x14ac:dyDescent="0.2">
      <c r="A393">
        <v>390</v>
      </c>
      <c r="B393" s="19">
        <f>Finanzierung!$B$5</f>
        <v>3200.0000000000005</v>
      </c>
      <c r="C393" s="19">
        <f t="shared" si="48"/>
        <v>70066.4513353816</v>
      </c>
      <c r="D393" s="19">
        <f>C393*Finanzierung!$B$3/100/12</f>
        <v>186.84387022768428</v>
      </c>
      <c r="E393" s="19">
        <f t="shared" si="55"/>
        <v>3013.156129772316</v>
      </c>
      <c r="J393">
        <v>390</v>
      </c>
      <c r="K393" s="19">
        <f t="shared" si="52"/>
        <v>2240</v>
      </c>
      <c r="L393" s="19">
        <f t="shared" si="53"/>
        <v>726987.85987088445</v>
      </c>
      <c r="M393" s="19">
        <f>L393*Finanzierung!$B$3/100/12</f>
        <v>1938.6342929890252</v>
      </c>
      <c r="N393" s="19">
        <f t="shared" si="54"/>
        <v>301.3657070109748</v>
      </c>
      <c r="O393">
        <f>O392*(1+Finanzierung!$B$6/100/12)+$H$3</f>
        <v>1150966.9153470316</v>
      </c>
      <c r="S393" s="22">
        <f t="shared" si="49"/>
        <v>32.5</v>
      </c>
      <c r="T393" s="19">
        <f t="shared" si="50"/>
        <v>-70066.4513353816</v>
      </c>
      <c r="U393" s="19">
        <f t="shared" si="51"/>
        <v>423979.0554761471</v>
      </c>
    </row>
    <row r="394" spans="1:21" x14ac:dyDescent="0.2">
      <c r="A394">
        <v>391</v>
      </c>
      <c r="B394" s="19">
        <f>Finanzierung!$B$5</f>
        <v>3200.0000000000005</v>
      </c>
      <c r="C394" s="19">
        <f t="shared" si="48"/>
        <v>67053.295205609291</v>
      </c>
      <c r="D394" s="19">
        <f>C394*Finanzierung!$B$3/100/12</f>
        <v>178.8087872149581</v>
      </c>
      <c r="E394" s="19">
        <f t="shared" si="55"/>
        <v>3021.1912127850424</v>
      </c>
      <c r="J394">
        <v>391</v>
      </c>
      <c r="K394" s="19">
        <f t="shared" si="52"/>
        <v>2240</v>
      </c>
      <c r="L394" s="19">
        <f t="shared" si="53"/>
        <v>726686.49416387349</v>
      </c>
      <c r="M394" s="19">
        <f>L394*Finanzierung!$B$3/100/12</f>
        <v>1937.8306511036628</v>
      </c>
      <c r="N394" s="19">
        <f t="shared" si="54"/>
        <v>302.16934889633717</v>
      </c>
      <c r="O394">
        <f>O393*(1+Finanzierung!$B$6/100/12)+$H$3</f>
        <v>1157681.7499237666</v>
      </c>
      <c r="S394" s="22">
        <f t="shared" si="49"/>
        <v>32.583333333333336</v>
      </c>
      <c r="T394" s="19">
        <f t="shared" si="50"/>
        <v>-67053.295205609291</v>
      </c>
      <c r="U394" s="19">
        <f t="shared" si="51"/>
        <v>430995.2557598931</v>
      </c>
    </row>
    <row r="395" spans="1:21" x14ac:dyDescent="0.2">
      <c r="A395">
        <v>392</v>
      </c>
      <c r="B395" s="19">
        <f>Finanzierung!$B$5</f>
        <v>3200.0000000000005</v>
      </c>
      <c r="C395" s="19">
        <f t="shared" si="48"/>
        <v>64032.103992824246</v>
      </c>
      <c r="D395" s="19">
        <f>C395*Finanzierung!$B$3/100/12</f>
        <v>170.75227731419798</v>
      </c>
      <c r="E395" s="19">
        <f t="shared" si="55"/>
        <v>3029.2477226858023</v>
      </c>
      <c r="J395">
        <v>392</v>
      </c>
      <c r="K395" s="19">
        <f t="shared" si="52"/>
        <v>2240</v>
      </c>
      <c r="L395" s="19">
        <f t="shared" si="53"/>
        <v>726384.32481497712</v>
      </c>
      <c r="M395" s="19">
        <f>L395*Finanzierung!$B$3/100/12</f>
        <v>1937.0248661732724</v>
      </c>
      <c r="N395" s="19">
        <f t="shared" si="54"/>
        <v>302.97513382672764</v>
      </c>
      <c r="O395">
        <f>O394*(1+Finanzierung!$B$6/100/12)+$H$3</f>
        <v>1164430.1586733854</v>
      </c>
      <c r="S395" s="22">
        <f t="shared" si="49"/>
        <v>32.666666666666664</v>
      </c>
      <c r="T395" s="19">
        <f t="shared" si="50"/>
        <v>-64032.103992824246</v>
      </c>
      <c r="U395" s="19">
        <f t="shared" si="51"/>
        <v>438045.83385840827</v>
      </c>
    </row>
    <row r="396" spans="1:21" x14ac:dyDescent="0.2">
      <c r="A396">
        <v>393</v>
      </c>
      <c r="B396" s="19">
        <f>Finanzierung!$B$5</f>
        <v>3200.0000000000005</v>
      </c>
      <c r="C396" s="19">
        <f t="shared" si="48"/>
        <v>61002.856270138444</v>
      </c>
      <c r="D396" s="19">
        <f>C396*Finanzierung!$B$3/100/12</f>
        <v>162.67428338703584</v>
      </c>
      <c r="E396" s="19">
        <f t="shared" si="55"/>
        <v>3037.3257166129647</v>
      </c>
      <c r="J396">
        <v>393</v>
      </c>
      <c r="K396" s="19">
        <f t="shared" si="52"/>
        <v>2240</v>
      </c>
      <c r="L396" s="19">
        <f t="shared" si="53"/>
        <v>726081.3496811504</v>
      </c>
      <c r="M396" s="19">
        <f>L396*Finanzierung!$B$3/100/12</f>
        <v>1936.2169324830677</v>
      </c>
      <c r="N396" s="19">
        <f t="shared" si="54"/>
        <v>303.78306751693231</v>
      </c>
      <c r="O396">
        <f>O395*(1+Finanzierung!$B$6/100/12)+$H$3</f>
        <v>1171212.3094667522</v>
      </c>
      <c r="S396" s="22">
        <f t="shared" si="49"/>
        <v>32.75</v>
      </c>
      <c r="T396" s="19">
        <f t="shared" si="50"/>
        <v>-61002.856270138444</v>
      </c>
      <c r="U396" s="19">
        <f t="shared" si="51"/>
        <v>445130.95978560182</v>
      </c>
    </row>
    <row r="397" spans="1:21" x14ac:dyDescent="0.2">
      <c r="A397">
        <v>394</v>
      </c>
      <c r="B397" s="19">
        <f>Finanzierung!$B$5</f>
        <v>3200.0000000000005</v>
      </c>
      <c r="C397" s="19">
        <f t="shared" si="48"/>
        <v>57965.530553525481</v>
      </c>
      <c r="D397" s="19">
        <f>C397*Finanzierung!$B$3/100/12</f>
        <v>154.57474814273465</v>
      </c>
      <c r="E397" s="19">
        <f t="shared" si="55"/>
        <v>3045.4252518572657</v>
      </c>
      <c r="J397">
        <v>394</v>
      </c>
      <c r="K397" s="19">
        <f t="shared" si="52"/>
        <v>2240</v>
      </c>
      <c r="L397" s="19">
        <f t="shared" si="53"/>
        <v>725777.56661363342</v>
      </c>
      <c r="M397" s="19">
        <f>L397*Finanzierung!$B$3/100/12</f>
        <v>1935.4068443030226</v>
      </c>
      <c r="N397" s="19">
        <f t="shared" si="54"/>
        <v>304.59315569697742</v>
      </c>
      <c r="O397">
        <f>O396*(1+Finanzierung!$B$6/100/12)+$H$3</f>
        <v>1178028.3710140858</v>
      </c>
      <c r="S397" s="22">
        <f t="shared" si="49"/>
        <v>32.833333333333336</v>
      </c>
      <c r="T397" s="19">
        <f t="shared" si="50"/>
        <v>-57965.530553525481</v>
      </c>
      <c r="U397" s="19">
        <f t="shared" si="51"/>
        <v>452250.80440045241</v>
      </c>
    </row>
    <row r="398" spans="1:21" x14ac:dyDescent="0.2">
      <c r="A398">
        <v>395</v>
      </c>
      <c r="B398" s="19">
        <f>Finanzierung!$B$5</f>
        <v>3200.0000000000005</v>
      </c>
      <c r="C398" s="19">
        <f t="shared" si="48"/>
        <v>54920.105301668213</v>
      </c>
      <c r="D398" s="19">
        <f>C398*Finanzierung!$B$3/100/12</f>
        <v>146.4536141377819</v>
      </c>
      <c r="E398" s="19">
        <f t="shared" si="55"/>
        <v>3053.5463858622184</v>
      </c>
      <c r="J398">
        <v>395</v>
      </c>
      <c r="K398" s="19">
        <f t="shared" si="52"/>
        <v>2240</v>
      </c>
      <c r="L398" s="19">
        <f t="shared" si="53"/>
        <v>725472.97345793643</v>
      </c>
      <c r="M398" s="19">
        <f>L398*Finanzierung!$B$3/100/12</f>
        <v>1934.5945958878303</v>
      </c>
      <c r="N398" s="19">
        <f t="shared" si="54"/>
        <v>305.40540411216966</v>
      </c>
      <c r="O398">
        <f>O397*(1+Finanzierung!$B$6/100/12)+$H$3</f>
        <v>1184878.5128691562</v>
      </c>
      <c r="S398" s="22">
        <f t="shared" si="49"/>
        <v>32.916666666666664</v>
      </c>
      <c r="T398" s="19">
        <f t="shared" si="50"/>
        <v>-54920.105301668213</v>
      </c>
      <c r="U398" s="19">
        <f t="shared" si="51"/>
        <v>459405.53941121977</v>
      </c>
    </row>
    <row r="399" spans="1:21" x14ac:dyDescent="0.2">
      <c r="A399">
        <v>396</v>
      </c>
      <c r="B399" s="19">
        <f>Finanzierung!$B$5</f>
        <v>3200.0000000000005</v>
      </c>
      <c r="C399" s="19">
        <f t="shared" si="48"/>
        <v>51866.558915805996</v>
      </c>
      <c r="D399" s="19">
        <f>C399*Finanzierung!$B$3/100/12</f>
        <v>138.31082377548265</v>
      </c>
      <c r="E399" s="19">
        <f t="shared" si="55"/>
        <v>3061.6891762245177</v>
      </c>
      <c r="J399">
        <v>396</v>
      </c>
      <c r="K399" s="19">
        <f t="shared" si="52"/>
        <v>2240</v>
      </c>
      <c r="L399" s="19">
        <f t="shared" si="53"/>
        <v>725167.56805382424</v>
      </c>
      <c r="M399" s="19">
        <f>L399*Finanzierung!$B$3/100/12</f>
        <v>1933.7801814768645</v>
      </c>
      <c r="N399" s="19">
        <f t="shared" si="54"/>
        <v>306.21981852313547</v>
      </c>
      <c r="O399">
        <f>O398*(1+Finanzierung!$B$6/100/12)+$H$3</f>
        <v>1191762.9054335018</v>
      </c>
      <c r="S399" s="22">
        <f t="shared" si="49"/>
        <v>33</v>
      </c>
      <c r="T399" s="19">
        <f t="shared" si="50"/>
        <v>-51866.558915805996</v>
      </c>
      <c r="U399" s="19">
        <f t="shared" si="51"/>
        <v>466595.33737967757</v>
      </c>
    </row>
    <row r="400" spans="1:21" x14ac:dyDescent="0.2">
      <c r="A400">
        <v>397</v>
      </c>
      <c r="B400" s="19">
        <f>Finanzierung!$B$5</f>
        <v>3200.0000000000005</v>
      </c>
      <c r="C400" s="19">
        <f t="shared" si="48"/>
        <v>48804.869739581482</v>
      </c>
      <c r="D400" s="19">
        <f>C400*Finanzierung!$B$3/100/12</f>
        <v>130.14631930555063</v>
      </c>
      <c r="E400" s="19">
        <f t="shared" si="55"/>
        <v>3069.8536806944498</v>
      </c>
      <c r="J400">
        <v>397</v>
      </c>
      <c r="K400" s="19">
        <f t="shared" si="52"/>
        <v>2240</v>
      </c>
      <c r="L400" s="19">
        <f t="shared" si="53"/>
        <v>724861.34823530109</v>
      </c>
      <c r="M400" s="19">
        <f>L400*Finanzierung!$B$3/100/12</f>
        <v>1932.9635952941362</v>
      </c>
      <c r="N400" s="19">
        <f t="shared" si="54"/>
        <v>307.03640470586379</v>
      </c>
      <c r="O400">
        <f>O399*(1+Finanzierung!$B$6/100/12)+$H$3</f>
        <v>1198681.7199606693</v>
      </c>
      <c r="S400" s="22">
        <f t="shared" si="49"/>
        <v>33.083333333333336</v>
      </c>
      <c r="T400" s="19">
        <f t="shared" si="50"/>
        <v>-48804.869739581482</v>
      </c>
      <c r="U400" s="19">
        <f t="shared" si="51"/>
        <v>473820.3717253682</v>
      </c>
    </row>
    <row r="401" spans="1:21" x14ac:dyDescent="0.2">
      <c r="A401">
        <v>398</v>
      </c>
      <c r="B401" s="19">
        <f>Finanzierung!$B$5</f>
        <v>3200.0000000000005</v>
      </c>
      <c r="C401" s="19">
        <f t="shared" si="48"/>
        <v>45735.016058887035</v>
      </c>
      <c r="D401" s="19">
        <f>C401*Finanzierung!$B$3/100/12</f>
        <v>121.96004282369877</v>
      </c>
      <c r="E401" s="19">
        <f t="shared" si="55"/>
        <v>3078.0399571763019</v>
      </c>
      <c r="J401">
        <v>398</v>
      </c>
      <c r="K401" s="19">
        <f t="shared" si="52"/>
        <v>2240</v>
      </c>
      <c r="L401" s="19">
        <f t="shared" si="53"/>
        <v>724554.31183059525</v>
      </c>
      <c r="M401" s="19">
        <f>L401*Finanzierung!$B$3/100/12</f>
        <v>1932.1448315482539</v>
      </c>
      <c r="N401" s="19">
        <f t="shared" si="54"/>
        <v>307.85516845174607</v>
      </c>
      <c r="O401">
        <f>O400*(1+Finanzierung!$B$6/100/12)+$H$3</f>
        <v>1205635.1285604725</v>
      </c>
      <c r="S401" s="22">
        <f t="shared" si="49"/>
        <v>33.166666666666664</v>
      </c>
      <c r="T401" s="19">
        <f t="shared" si="50"/>
        <v>-45735.016058887035</v>
      </c>
      <c r="U401" s="19">
        <f t="shared" si="51"/>
        <v>481080.81672987726</v>
      </c>
    </row>
    <row r="402" spans="1:21" x14ac:dyDescent="0.2">
      <c r="A402">
        <v>399</v>
      </c>
      <c r="B402" s="19">
        <f>Finanzierung!$B$5</f>
        <v>3200.0000000000005</v>
      </c>
      <c r="C402" s="19">
        <f t="shared" si="48"/>
        <v>42656.97610171073</v>
      </c>
      <c r="D402" s="19">
        <f>C402*Finanzierung!$B$3/100/12</f>
        <v>113.75193627122862</v>
      </c>
      <c r="E402" s="19">
        <f t="shared" si="55"/>
        <v>3086.2480637287717</v>
      </c>
      <c r="J402">
        <v>399</v>
      </c>
      <c r="K402" s="19">
        <f t="shared" si="52"/>
        <v>2240</v>
      </c>
      <c r="L402" s="19">
        <f t="shared" si="53"/>
        <v>724246.45666214346</v>
      </c>
      <c r="M402" s="19">
        <f>L402*Finanzierung!$B$3/100/12</f>
        <v>1931.3238844323826</v>
      </c>
      <c r="N402" s="19">
        <f t="shared" si="54"/>
        <v>308.67611556761744</v>
      </c>
      <c r="O402">
        <f>O401*(1+Finanzierung!$B$6/100/12)+$H$3</f>
        <v>1212623.3042032747</v>
      </c>
      <c r="S402" s="22">
        <f t="shared" si="49"/>
        <v>33.25</v>
      </c>
      <c r="T402" s="19">
        <f t="shared" si="50"/>
        <v>-42656.97610171073</v>
      </c>
      <c r="U402" s="19">
        <f t="shared" si="51"/>
        <v>488376.8475411312</v>
      </c>
    </row>
    <row r="403" spans="1:21" x14ac:dyDescent="0.2">
      <c r="A403">
        <v>400</v>
      </c>
      <c r="B403" s="19">
        <f>Finanzierung!$B$5</f>
        <v>3200.0000000000005</v>
      </c>
      <c r="C403" s="19">
        <f t="shared" si="48"/>
        <v>39570.728037981957</v>
      </c>
      <c r="D403" s="19">
        <f>C403*Finanzierung!$B$3/100/12</f>
        <v>105.52194143461855</v>
      </c>
      <c r="E403" s="19">
        <f t="shared" si="55"/>
        <v>3094.4780585653821</v>
      </c>
      <c r="J403">
        <v>400</v>
      </c>
      <c r="K403" s="19">
        <f t="shared" si="52"/>
        <v>2240</v>
      </c>
      <c r="L403" s="19">
        <f t="shared" si="53"/>
        <v>723937.7805465759</v>
      </c>
      <c r="M403" s="19">
        <f>L403*Finanzierung!$B$3/100/12</f>
        <v>1930.5007481242026</v>
      </c>
      <c r="N403" s="19">
        <f t="shared" si="54"/>
        <v>309.49925187579743</v>
      </c>
      <c r="O403">
        <f>O402*(1+Finanzierung!$B$6/100/12)+$H$3</f>
        <v>1219646.4207242909</v>
      </c>
      <c r="S403" s="22">
        <f t="shared" si="49"/>
        <v>33.333333333333336</v>
      </c>
      <c r="T403" s="19">
        <f t="shared" si="50"/>
        <v>-39570.728037981957</v>
      </c>
      <c r="U403" s="19">
        <f t="shared" si="51"/>
        <v>495708.64017771499</v>
      </c>
    </row>
    <row r="404" spans="1:21" x14ac:dyDescent="0.2">
      <c r="A404">
        <v>401</v>
      </c>
      <c r="B404" s="19">
        <f>Finanzierung!$B$5</f>
        <v>3200.0000000000005</v>
      </c>
      <c r="C404" s="19">
        <f t="shared" si="48"/>
        <v>36476.249979416578</v>
      </c>
      <c r="D404" s="19">
        <f>C404*Finanzierung!$B$3/100/12</f>
        <v>97.269999945110882</v>
      </c>
      <c r="E404" s="19">
        <f t="shared" si="55"/>
        <v>3102.7300000548894</v>
      </c>
      <c r="J404">
        <v>401</v>
      </c>
      <c r="K404" s="19">
        <f t="shared" si="52"/>
        <v>2240</v>
      </c>
      <c r="L404" s="19">
        <f t="shared" si="53"/>
        <v>723628.28129470011</v>
      </c>
      <c r="M404" s="19">
        <f>L404*Finanzierung!$B$3/100/12</f>
        <v>1929.6754167858671</v>
      </c>
      <c r="N404" s="19">
        <f t="shared" si="54"/>
        <v>310.32458321413287</v>
      </c>
      <c r="O404">
        <f>O403*(1+Finanzierung!$B$6/100/12)+$H$3</f>
        <v>1226704.6528279122</v>
      </c>
      <c r="S404" s="22">
        <f t="shared" si="49"/>
        <v>33.416666666666664</v>
      </c>
      <c r="T404" s="19">
        <f t="shared" si="50"/>
        <v>-36476.249979416578</v>
      </c>
      <c r="U404" s="19">
        <f t="shared" si="51"/>
        <v>503076.37153321214</v>
      </c>
    </row>
    <row r="405" spans="1:21" x14ac:dyDescent="0.2">
      <c r="A405">
        <v>402</v>
      </c>
      <c r="B405" s="19">
        <f>Finanzierung!$B$5</f>
        <v>3200.0000000000005</v>
      </c>
      <c r="C405" s="19">
        <f t="shared" si="48"/>
        <v>33373.519979361692</v>
      </c>
      <c r="D405" s="19">
        <f>C405*Finanzierung!$B$3/100/12</f>
        <v>88.99605327829785</v>
      </c>
      <c r="E405" s="19">
        <f t="shared" si="55"/>
        <v>3111.0039467217025</v>
      </c>
      <c r="J405">
        <v>402</v>
      </c>
      <c r="K405" s="19">
        <f t="shared" si="52"/>
        <v>2240</v>
      </c>
      <c r="L405" s="19">
        <f t="shared" si="53"/>
        <v>723317.95671148598</v>
      </c>
      <c r="M405" s="19">
        <f>L405*Finanzierung!$B$3/100/12</f>
        <v>1928.8478845639629</v>
      </c>
      <c r="N405" s="19">
        <f t="shared" si="54"/>
        <v>311.15211543603709</v>
      </c>
      <c r="O405">
        <f>O404*(1+Finanzierung!$B$6/100/12)+$H$3</f>
        <v>1233798.1760920517</v>
      </c>
      <c r="S405" s="22">
        <f t="shared" si="49"/>
        <v>33.5</v>
      </c>
      <c r="T405" s="19">
        <f t="shared" si="50"/>
        <v>-33373.519979361692</v>
      </c>
      <c r="U405" s="19">
        <f t="shared" si="51"/>
        <v>510480.21938056569</v>
      </c>
    </row>
    <row r="406" spans="1:21" x14ac:dyDescent="0.2">
      <c r="A406">
        <v>403</v>
      </c>
      <c r="B406" s="19">
        <f>Finanzierung!$B$5</f>
        <v>3200.0000000000005</v>
      </c>
      <c r="C406" s="19">
        <f t="shared" si="48"/>
        <v>30262.516032639989</v>
      </c>
      <c r="D406" s="19">
        <f>C406*Finanzierung!$B$3/100/12</f>
        <v>80.700042753706654</v>
      </c>
      <c r="E406" s="19">
        <f t="shared" si="55"/>
        <v>3119.2999572462936</v>
      </c>
      <c r="J406">
        <v>403</v>
      </c>
      <c r="K406" s="19">
        <f t="shared" si="52"/>
        <v>2240</v>
      </c>
      <c r="L406" s="19">
        <f t="shared" si="53"/>
        <v>723006.80459604994</v>
      </c>
      <c r="M406" s="19">
        <f>L406*Finanzierung!$B$3/100/12</f>
        <v>1928.0181455894665</v>
      </c>
      <c r="N406" s="19">
        <f t="shared" si="54"/>
        <v>311.98185441053351</v>
      </c>
      <c r="O406">
        <f>O405*(1+Finanzierung!$B$6/100/12)+$H$3</f>
        <v>1240927.1669725117</v>
      </c>
      <c r="S406" s="22">
        <f t="shared" si="49"/>
        <v>33.583333333333336</v>
      </c>
      <c r="T406" s="19">
        <f t="shared" si="50"/>
        <v>-30262.516032639989</v>
      </c>
      <c r="U406" s="19">
        <f t="shared" si="51"/>
        <v>517920.36237646174</v>
      </c>
    </row>
    <row r="407" spans="1:21" x14ac:dyDescent="0.2">
      <c r="A407">
        <v>404</v>
      </c>
      <c r="B407" s="19">
        <f>Finanzierung!$B$5</f>
        <v>3200.0000000000005</v>
      </c>
      <c r="C407" s="19">
        <f t="shared" si="48"/>
        <v>27143.216075393695</v>
      </c>
      <c r="D407" s="19">
        <f>C407*Finanzierung!$B$3/100/12</f>
        <v>72.381909534383198</v>
      </c>
      <c r="E407" s="19">
        <f t="shared" si="55"/>
        <v>3127.6180904656171</v>
      </c>
      <c r="J407">
        <v>404</v>
      </c>
      <c r="K407" s="19">
        <f t="shared" si="52"/>
        <v>2240</v>
      </c>
      <c r="L407" s="19">
        <f t="shared" si="53"/>
        <v>722694.82274163945</v>
      </c>
      <c r="M407" s="19">
        <f>L407*Finanzierung!$B$3/100/12</f>
        <v>1927.1861939777054</v>
      </c>
      <c r="N407" s="19">
        <f t="shared" si="54"/>
        <v>312.81380602229456</v>
      </c>
      <c r="O407">
        <f>O406*(1+Finanzierung!$B$6/100/12)+$H$3</f>
        <v>1248091.8028073742</v>
      </c>
      <c r="S407" s="22">
        <f t="shared" si="49"/>
        <v>33.666666666666664</v>
      </c>
      <c r="T407" s="19">
        <f t="shared" si="50"/>
        <v>-27143.216075393695</v>
      </c>
      <c r="U407" s="19">
        <f t="shared" si="51"/>
        <v>525396.98006573471</v>
      </c>
    </row>
    <row r="408" spans="1:21" x14ac:dyDescent="0.2">
      <c r="A408">
        <v>405</v>
      </c>
      <c r="B408" s="19">
        <f>Finanzierung!$B$5</f>
        <v>3200.0000000000005</v>
      </c>
      <c r="C408" s="19">
        <f t="shared" si="48"/>
        <v>24015.597984928077</v>
      </c>
      <c r="D408" s="19">
        <f>C408*Finanzierung!$B$3/100/12</f>
        <v>64.041594626474875</v>
      </c>
      <c r="E408" s="19">
        <f t="shared" si="55"/>
        <v>3135.9584053735257</v>
      </c>
      <c r="J408">
        <v>405</v>
      </c>
      <c r="K408" s="19">
        <f t="shared" si="52"/>
        <v>2240</v>
      </c>
      <c r="L408" s="19">
        <f t="shared" si="53"/>
        <v>722382.00893561717</v>
      </c>
      <c r="M408" s="19">
        <f>L408*Finanzierung!$B$3/100/12</f>
        <v>1926.3520238283127</v>
      </c>
      <c r="N408" s="19">
        <f t="shared" si="54"/>
        <v>313.64797617168733</v>
      </c>
      <c r="O408">
        <f>O407*(1+Finanzierung!$B$6/100/12)+$H$3</f>
        <v>1255292.2618214109</v>
      </c>
      <c r="S408" s="22">
        <f t="shared" si="49"/>
        <v>33.75</v>
      </c>
      <c r="T408" s="19">
        <f t="shared" si="50"/>
        <v>-24015.597984928077</v>
      </c>
      <c r="U408" s="19">
        <f t="shared" si="51"/>
        <v>532910.25288579368</v>
      </c>
    </row>
    <row r="409" spans="1:21" x14ac:dyDescent="0.2">
      <c r="A409">
        <v>406</v>
      </c>
      <c r="B409" s="19">
        <f>Finanzierung!$B$5</f>
        <v>3200.0000000000005</v>
      </c>
      <c r="C409" s="19">
        <f t="shared" si="48"/>
        <v>20879.63957955455</v>
      </c>
      <c r="D409" s="19">
        <f>C409*Finanzierung!$B$3/100/12</f>
        <v>55.679038878812129</v>
      </c>
      <c r="E409" s="19">
        <f t="shared" si="55"/>
        <v>3144.3209611211882</v>
      </c>
      <c r="J409">
        <v>406</v>
      </c>
      <c r="K409" s="19">
        <f t="shared" si="52"/>
        <v>2240</v>
      </c>
      <c r="L409" s="19">
        <f t="shared" si="53"/>
        <v>722068.36095944548</v>
      </c>
      <c r="M409" s="19">
        <f>L409*Finanzierung!$B$3/100/12</f>
        <v>1925.5156292251884</v>
      </c>
      <c r="N409" s="19">
        <f t="shared" si="54"/>
        <v>314.48437077481162</v>
      </c>
      <c r="O409">
        <f>O408*(1+Finanzierung!$B$6/100/12)+$H$3</f>
        <v>1262528.7231305179</v>
      </c>
      <c r="S409" s="22">
        <f t="shared" si="49"/>
        <v>33.833333333333336</v>
      </c>
      <c r="T409" s="19">
        <f t="shared" si="50"/>
        <v>-20879.63957955455</v>
      </c>
      <c r="U409" s="19">
        <f t="shared" si="51"/>
        <v>540460.3621710724</v>
      </c>
    </row>
    <row r="410" spans="1:21" x14ac:dyDescent="0.2">
      <c r="A410">
        <v>407</v>
      </c>
      <c r="B410" s="19">
        <f>Finanzierung!$B$5</f>
        <v>3200.0000000000005</v>
      </c>
      <c r="C410" s="19">
        <f t="shared" si="48"/>
        <v>17735.318618433361</v>
      </c>
      <c r="D410" s="19">
        <f>C410*Finanzierung!$B$3/100/12</f>
        <v>47.294182982488962</v>
      </c>
      <c r="E410" s="19">
        <f t="shared" si="55"/>
        <v>3152.7058170175114</v>
      </c>
      <c r="J410">
        <v>407</v>
      </c>
      <c r="K410" s="19">
        <f t="shared" si="52"/>
        <v>2240</v>
      </c>
      <c r="L410" s="19">
        <f t="shared" si="53"/>
        <v>721753.87658867065</v>
      </c>
      <c r="M410" s="19">
        <f>L410*Finanzierung!$B$3/100/12</f>
        <v>1924.6770042364551</v>
      </c>
      <c r="N410" s="19">
        <f t="shared" si="54"/>
        <v>315.3229957635449</v>
      </c>
      <c r="O410">
        <f>O409*(1+Finanzierung!$B$6/100/12)+$H$3</f>
        <v>1269801.3667461702</v>
      </c>
      <c r="S410" s="22">
        <f t="shared" si="49"/>
        <v>33.916666666666664</v>
      </c>
      <c r="T410" s="19">
        <f t="shared" si="50"/>
        <v>-17735.318618433361</v>
      </c>
      <c r="U410" s="19">
        <f t="shared" si="51"/>
        <v>548047.49015749956</v>
      </c>
    </row>
    <row r="411" spans="1:21" x14ac:dyDescent="0.2">
      <c r="A411">
        <v>408</v>
      </c>
      <c r="B411" s="19">
        <f>Finanzierung!$B$5</f>
        <v>3200.0000000000005</v>
      </c>
      <c r="C411" s="19">
        <f t="shared" si="48"/>
        <v>14582.612801415849</v>
      </c>
      <c r="D411" s="19">
        <f>C411*Finanzierung!$B$3/100/12</f>
        <v>38.886967470442265</v>
      </c>
      <c r="E411" s="19">
        <f t="shared" si="55"/>
        <v>3161.113032529558</v>
      </c>
      <c r="J411">
        <v>408</v>
      </c>
      <c r="K411" s="19">
        <f t="shared" si="52"/>
        <v>2240</v>
      </c>
      <c r="L411" s="19">
        <f t="shared" si="53"/>
        <v>721438.55359290715</v>
      </c>
      <c r="M411" s="19">
        <f>L411*Finanzierung!$B$3/100/12</f>
        <v>1923.836142914419</v>
      </c>
      <c r="N411" s="19">
        <f t="shared" si="54"/>
        <v>316.16385708558096</v>
      </c>
      <c r="O411">
        <f>O410*(1+Finanzierung!$B$6/100/12)+$H$3</f>
        <v>1277110.3735799009</v>
      </c>
      <c r="S411" s="22">
        <f t="shared" si="49"/>
        <v>34</v>
      </c>
      <c r="T411" s="19">
        <f t="shared" si="50"/>
        <v>-14582.612801415849</v>
      </c>
      <c r="U411" s="19">
        <f t="shared" si="51"/>
        <v>555671.8199869938</v>
      </c>
    </row>
    <row r="412" spans="1:21" x14ac:dyDescent="0.2">
      <c r="A412">
        <v>409</v>
      </c>
      <c r="B412" s="19">
        <f>Finanzierung!$B$5</f>
        <v>3200.0000000000005</v>
      </c>
      <c r="C412" s="19">
        <f t="shared" si="48"/>
        <v>11421.499768886291</v>
      </c>
      <c r="D412" s="19">
        <f>C412*Finanzierung!$B$3/100/12</f>
        <v>30.457332717030113</v>
      </c>
      <c r="E412" s="19">
        <f t="shared" si="55"/>
        <v>3169.5426672829703</v>
      </c>
      <c r="J412">
        <v>409</v>
      </c>
      <c r="K412" s="19">
        <f t="shared" si="52"/>
        <v>2240</v>
      </c>
      <c r="L412" s="19">
        <f t="shared" si="53"/>
        <v>721122.38973582152</v>
      </c>
      <c r="M412" s="19">
        <f>L412*Finanzierung!$B$3/100/12</f>
        <v>1922.9930392955239</v>
      </c>
      <c r="N412" s="19">
        <f t="shared" si="54"/>
        <v>317.00696070447611</v>
      </c>
      <c r="O412">
        <f>O411*(1+Finanzierung!$B$6/100/12)+$H$3</f>
        <v>1284455.9254478004</v>
      </c>
      <c r="S412" s="22">
        <f t="shared" si="49"/>
        <v>34.083333333333336</v>
      </c>
      <c r="T412" s="19">
        <f t="shared" si="50"/>
        <v>-11421.499768886291</v>
      </c>
      <c r="U412" s="19">
        <f t="shared" si="51"/>
        <v>563333.53571197891</v>
      </c>
    </row>
    <row r="413" spans="1:21" x14ac:dyDescent="0.2">
      <c r="A413">
        <v>410</v>
      </c>
      <c r="B413" s="19">
        <f>Finanzierung!$B$5</f>
        <v>3200.0000000000005</v>
      </c>
      <c r="C413" s="19">
        <f t="shared" si="48"/>
        <v>8251.9571016033206</v>
      </c>
      <c r="D413" s="19">
        <f>C413*Finanzierung!$B$3/100/12</f>
        <v>22.005218937608856</v>
      </c>
      <c r="E413" s="19">
        <f t="shared" si="55"/>
        <v>3177.9947810623917</v>
      </c>
      <c r="J413">
        <v>410</v>
      </c>
      <c r="K413" s="19">
        <f t="shared" si="52"/>
        <v>2240</v>
      </c>
      <c r="L413" s="19">
        <f t="shared" si="53"/>
        <v>720805.38277511706</v>
      </c>
      <c r="M413" s="19">
        <f>L413*Finanzierung!$B$3/100/12</f>
        <v>1922.147687400312</v>
      </c>
      <c r="N413" s="19">
        <f t="shared" si="54"/>
        <v>317.85231259968805</v>
      </c>
      <c r="O413">
        <f>O412*(1+Finanzierung!$B$6/100/12)+$H$3</f>
        <v>1291838.2050750393</v>
      </c>
      <c r="S413" s="22">
        <f t="shared" si="49"/>
        <v>34.166666666666664</v>
      </c>
      <c r="T413" s="19">
        <f t="shared" si="50"/>
        <v>-8251.9571016033206</v>
      </c>
      <c r="U413" s="19">
        <f t="shared" si="51"/>
        <v>571032.82229992223</v>
      </c>
    </row>
    <row r="414" spans="1:21" x14ac:dyDescent="0.2">
      <c r="A414">
        <v>411</v>
      </c>
      <c r="B414" s="19">
        <f>Finanzierung!$B$5</f>
        <v>3200.0000000000005</v>
      </c>
      <c r="C414" s="19">
        <f t="shared" si="48"/>
        <v>5073.9623205409289</v>
      </c>
      <c r="D414" s="19">
        <f>C414*Finanzierung!$B$3/100/12</f>
        <v>13.530566188109146</v>
      </c>
      <c r="E414" s="19">
        <f t="shared" si="55"/>
        <v>3186.4694338118911</v>
      </c>
      <c r="J414">
        <v>411</v>
      </c>
      <c r="K414" s="19">
        <f t="shared" si="52"/>
        <v>2240</v>
      </c>
      <c r="L414" s="19">
        <f t="shared" si="53"/>
        <v>720487.5304625174</v>
      </c>
      <c r="M414" s="19">
        <f>L414*Finanzierung!$B$3/100/12</f>
        <v>1921.3000812333801</v>
      </c>
      <c r="N414" s="19">
        <f t="shared" si="54"/>
        <v>318.69991876661993</v>
      </c>
      <c r="O414">
        <f>O413*(1+Finanzierung!$B$6/100/12)+$H$3</f>
        <v>1299257.3961004145</v>
      </c>
      <c r="S414" s="22">
        <f t="shared" si="49"/>
        <v>34.25</v>
      </c>
      <c r="T414" s="19">
        <f t="shared" si="50"/>
        <v>-5073.9623205409289</v>
      </c>
      <c r="U414" s="19">
        <f t="shared" si="51"/>
        <v>578769.86563789705</v>
      </c>
    </row>
    <row r="415" spans="1:21" x14ac:dyDescent="0.2">
      <c r="A415">
        <v>412</v>
      </c>
      <c r="B415" s="19">
        <f>Finanzierung!$B$5</f>
        <v>3200.0000000000005</v>
      </c>
      <c r="C415" s="19">
        <f t="shared" si="48"/>
        <v>1887.4928867290378</v>
      </c>
      <c r="D415" s="19">
        <f>C415*Finanzierung!$B$3/100/12</f>
        <v>5.0333143646107681</v>
      </c>
      <c r="E415" s="19">
        <f t="shared" si="55"/>
        <v>3194.9666856353897</v>
      </c>
      <c r="J415">
        <v>412</v>
      </c>
      <c r="K415" s="19">
        <f t="shared" si="52"/>
        <v>2240</v>
      </c>
      <c r="L415" s="19">
        <f t="shared" si="53"/>
        <v>720168.83054375078</v>
      </c>
      <c r="M415" s="19">
        <f>L415*Finanzierung!$B$3/100/12</f>
        <v>1920.4502147833355</v>
      </c>
      <c r="N415" s="19">
        <f t="shared" si="54"/>
        <v>319.54978521666453</v>
      </c>
      <c r="O415">
        <f>O414*(1+Finanzierung!$B$6/100/12)+$H$3</f>
        <v>1306713.6830809163</v>
      </c>
      <c r="S415" s="22">
        <f t="shared" si="49"/>
        <v>34.333333333333336</v>
      </c>
      <c r="T415" s="19">
        <f t="shared" si="50"/>
        <v>-1887.4928867290378</v>
      </c>
      <c r="U415" s="19">
        <f t="shared" si="51"/>
        <v>586544.85253716551</v>
      </c>
    </row>
    <row r="416" spans="1:21" x14ac:dyDescent="0.2">
      <c r="A416">
        <v>413</v>
      </c>
      <c r="B416" s="19">
        <f>Finanzierung!$B$5</f>
        <v>3200.0000000000005</v>
      </c>
      <c r="C416" s="19">
        <f t="shared" si="48"/>
        <v>-1307.4737989063519</v>
      </c>
      <c r="D416" s="19">
        <f>C416*Finanzierung!$B$3/100/12</f>
        <v>-3.4865967970836049</v>
      </c>
      <c r="E416" s="19">
        <f t="shared" si="55"/>
        <v>3203.4865967970841</v>
      </c>
      <c r="J416">
        <v>413</v>
      </c>
      <c r="K416" s="19">
        <f t="shared" si="52"/>
        <v>2240</v>
      </c>
      <c r="L416" s="19">
        <f t="shared" si="53"/>
        <v>719849.28075853409</v>
      </c>
      <c r="M416" s="19">
        <f>L416*Finanzierung!$B$3/100/12</f>
        <v>1919.5980820227578</v>
      </c>
      <c r="N416" s="19">
        <f t="shared" si="54"/>
        <v>320.40191797724219</v>
      </c>
      <c r="O416">
        <f>O415*(1+Finanzierung!$B$6/100/12)+$H$3</f>
        <v>1314207.2514963208</v>
      </c>
      <c r="S416" s="22">
        <f t="shared" si="49"/>
        <v>34.416666666666664</v>
      </c>
      <c r="T416" s="19">
        <f t="shared" si="50"/>
        <v>1307.4737989063519</v>
      </c>
      <c r="U416" s="19">
        <f t="shared" si="51"/>
        <v>594357.97073778673</v>
      </c>
    </row>
    <row r="417" spans="1:21" x14ac:dyDescent="0.2">
      <c r="A417">
        <v>414</v>
      </c>
      <c r="B417" s="19">
        <f>Finanzierung!$B$5</f>
        <v>3200.0000000000005</v>
      </c>
      <c r="C417" s="19">
        <f t="shared" si="48"/>
        <v>-4510.960395703436</v>
      </c>
      <c r="D417" s="19">
        <f>C417*Finanzierung!$B$3/100/12</f>
        <v>-12.029227721875829</v>
      </c>
      <c r="E417" s="19">
        <f t="shared" si="55"/>
        <v>3212.0292277218764</v>
      </c>
      <c r="J417">
        <v>414</v>
      </c>
      <c r="K417" s="19">
        <f t="shared" si="52"/>
        <v>2240</v>
      </c>
      <c r="L417" s="19">
        <f t="shared" si="53"/>
        <v>719528.87884055683</v>
      </c>
      <c r="M417" s="19">
        <f>L417*Finanzierung!$B$3/100/12</f>
        <v>1918.7436769081517</v>
      </c>
      <c r="N417" s="19">
        <f t="shared" si="54"/>
        <v>321.25632309184834</v>
      </c>
      <c r="O417">
        <f>O416*(1+Finanzierung!$B$6/100/12)+$H$3</f>
        <v>1321738.2877538023</v>
      </c>
      <c r="S417" s="22">
        <f t="shared" si="49"/>
        <v>34.5</v>
      </c>
      <c r="T417" s="19">
        <f t="shared" si="50"/>
        <v>4510.960395703436</v>
      </c>
      <c r="U417" s="19">
        <f t="shared" si="51"/>
        <v>602209.40891324542</v>
      </c>
    </row>
    <row r="418" spans="1:21" x14ac:dyDescent="0.2">
      <c r="A418">
        <v>415</v>
      </c>
      <c r="B418" s="19">
        <f>Finanzierung!$B$5</f>
        <v>3200.0000000000005</v>
      </c>
      <c r="C418" s="19">
        <f t="shared" si="48"/>
        <v>-7722.9896234253119</v>
      </c>
      <c r="D418" s="19">
        <f>C418*Finanzierung!$B$3/100/12</f>
        <v>-20.594638995800832</v>
      </c>
      <c r="E418" s="19">
        <f t="shared" si="55"/>
        <v>3220.5946389958012</v>
      </c>
      <c r="J418">
        <v>415</v>
      </c>
      <c r="K418" s="19">
        <f t="shared" si="52"/>
        <v>2240</v>
      </c>
      <c r="L418" s="19">
        <f t="shared" si="53"/>
        <v>719207.62251746503</v>
      </c>
      <c r="M418" s="19">
        <f>L418*Finanzierung!$B$3/100/12</f>
        <v>1917.8869933799069</v>
      </c>
      <c r="N418" s="19">
        <f t="shared" si="54"/>
        <v>322.11300662009307</v>
      </c>
      <c r="O418">
        <f>O417*(1+Finanzierung!$B$6/100/12)+$H$3</f>
        <v>1329306.979192571</v>
      </c>
      <c r="S418" s="22">
        <f t="shared" si="49"/>
        <v>34.583333333333336</v>
      </c>
      <c r="T418" s="19">
        <f t="shared" si="50"/>
        <v>7722.9896234253119</v>
      </c>
      <c r="U418" s="19">
        <f t="shared" si="51"/>
        <v>610099.35667510598</v>
      </c>
    </row>
    <row r="419" spans="1:21" x14ac:dyDescent="0.2">
      <c r="A419">
        <v>416</v>
      </c>
      <c r="B419" s="19">
        <f>Finanzierung!$B$5</f>
        <v>3200.0000000000005</v>
      </c>
      <c r="C419" s="19">
        <f t="shared" si="48"/>
        <v>-10943.584262421113</v>
      </c>
      <c r="D419" s="19">
        <f>C419*Finanzierung!$B$3/100/12</f>
        <v>-29.182891366456303</v>
      </c>
      <c r="E419" s="19">
        <f t="shared" si="55"/>
        <v>3229.1828913664567</v>
      </c>
      <c r="J419">
        <v>416</v>
      </c>
      <c r="K419" s="19">
        <f t="shared" si="52"/>
        <v>2240</v>
      </c>
      <c r="L419" s="19">
        <f t="shared" si="53"/>
        <v>718885.50951084495</v>
      </c>
      <c r="M419" s="19">
        <f>L419*Finanzierung!$B$3/100/12</f>
        <v>1917.0280253622534</v>
      </c>
      <c r="N419" s="19">
        <f t="shared" si="54"/>
        <v>322.9719746377466</v>
      </c>
      <c r="O419">
        <f>O418*(1+Finanzierung!$B$6/100/12)+$H$3</f>
        <v>1336913.5140885338</v>
      </c>
      <c r="S419" s="22">
        <f t="shared" si="49"/>
        <v>34.666666666666664</v>
      </c>
      <c r="T419" s="19">
        <f t="shared" si="50"/>
        <v>10943.584262421113</v>
      </c>
      <c r="U419" s="19">
        <f t="shared" si="51"/>
        <v>618028.00457768887</v>
      </c>
    </row>
    <row r="420" spans="1:21" x14ac:dyDescent="0.2">
      <c r="A420">
        <v>417</v>
      </c>
      <c r="B420" s="19">
        <f>Finanzierung!$B$5</f>
        <v>3200.0000000000005</v>
      </c>
      <c r="C420" s="19">
        <f t="shared" si="48"/>
        <v>-14172.767153787569</v>
      </c>
      <c r="D420" s="19">
        <f>C420*Finanzierung!$B$3/100/12</f>
        <v>-37.794045743433522</v>
      </c>
      <c r="E420" s="19">
        <f t="shared" si="55"/>
        <v>3237.7940457434338</v>
      </c>
      <c r="J420">
        <v>417</v>
      </c>
      <c r="K420" s="19">
        <f t="shared" si="52"/>
        <v>2240</v>
      </c>
      <c r="L420" s="19">
        <f t="shared" si="53"/>
        <v>718562.53753620724</v>
      </c>
      <c r="M420" s="19">
        <f>L420*Finanzierung!$B$3/100/12</f>
        <v>1916.1667667632194</v>
      </c>
      <c r="N420" s="19">
        <f t="shared" si="54"/>
        <v>323.83323323678064</v>
      </c>
      <c r="O420">
        <f>O419*(1+Finanzierung!$B$6/100/12)+$H$3</f>
        <v>1344558.0816589764</v>
      </c>
      <c r="S420" s="22">
        <f t="shared" si="49"/>
        <v>34.75</v>
      </c>
      <c r="T420" s="19">
        <f t="shared" si="50"/>
        <v>14172.767153787569</v>
      </c>
      <c r="U420" s="19">
        <f t="shared" si="51"/>
        <v>625995.54412276915</v>
      </c>
    </row>
    <row r="421" spans="1:21" x14ac:dyDescent="0.2">
      <c r="A421">
        <v>418</v>
      </c>
      <c r="B421" s="19">
        <f>Finanzierung!$B$5</f>
        <v>3200.0000000000005</v>
      </c>
      <c r="C421" s="19">
        <f t="shared" si="48"/>
        <v>-17410.561199531003</v>
      </c>
      <c r="D421" s="19">
        <f>C421*Finanzierung!$B$3/100/12</f>
        <v>-46.428163198749338</v>
      </c>
      <c r="E421" s="19">
        <f t="shared" si="55"/>
        <v>3246.4281631987496</v>
      </c>
      <c r="J421">
        <v>418</v>
      </c>
      <c r="K421" s="19">
        <f t="shared" si="52"/>
        <v>2240</v>
      </c>
      <c r="L421" s="19">
        <f t="shared" si="53"/>
        <v>718238.70430297044</v>
      </c>
      <c r="M421" s="19">
        <f>L421*Finanzierung!$B$3/100/12</f>
        <v>1915.3032114745877</v>
      </c>
      <c r="N421" s="19">
        <f t="shared" si="54"/>
        <v>324.69678852541233</v>
      </c>
      <c r="O421">
        <f>O420*(1+Finanzierung!$B$6/100/12)+$H$3</f>
        <v>1352240.872067271</v>
      </c>
      <c r="S421" s="22">
        <f t="shared" si="49"/>
        <v>34.833333333333336</v>
      </c>
      <c r="T421" s="19">
        <f t="shared" si="50"/>
        <v>17410.561199531003</v>
      </c>
      <c r="U421" s="19">
        <f t="shared" si="51"/>
        <v>634002.1677643006</v>
      </c>
    </row>
    <row r="422" spans="1:21" x14ac:dyDescent="0.2">
      <c r="A422">
        <v>419</v>
      </c>
      <c r="B422" s="19">
        <f>Finanzierung!$B$5</f>
        <v>3200.0000000000005</v>
      </c>
      <c r="C422" s="19">
        <f t="shared" si="48"/>
        <v>-20656.989362729753</v>
      </c>
      <c r="D422" s="19">
        <f>C422*Finanzierung!$B$3/100/12</f>
        <v>-55.085304967279349</v>
      </c>
      <c r="E422" s="19">
        <f t="shared" si="55"/>
        <v>3255.0853049672796</v>
      </c>
      <c r="J422">
        <v>419</v>
      </c>
      <c r="K422" s="19">
        <f t="shared" si="52"/>
        <v>2240</v>
      </c>
      <c r="L422" s="19">
        <f t="shared" si="53"/>
        <v>717914.00751444499</v>
      </c>
      <c r="M422" s="19">
        <f>L422*Finanzierung!$B$3/100/12</f>
        <v>1914.4373533718533</v>
      </c>
      <c r="N422" s="19">
        <f t="shared" si="54"/>
        <v>325.56264662814669</v>
      </c>
      <c r="O422">
        <f>O421*(1+Finanzierung!$B$6/100/12)+$H$3</f>
        <v>1359962.0764276073</v>
      </c>
      <c r="S422" s="22">
        <f t="shared" si="49"/>
        <v>34.916666666666664</v>
      </c>
      <c r="T422" s="19">
        <f t="shared" si="50"/>
        <v>20656.989362729753</v>
      </c>
      <c r="U422" s="19">
        <f t="shared" si="51"/>
        <v>642048.06891316234</v>
      </c>
    </row>
    <row r="423" spans="1:21" x14ac:dyDescent="0.2">
      <c r="A423">
        <v>420</v>
      </c>
      <c r="B423" s="19">
        <f>Finanzierung!$B$5</f>
        <v>3200.0000000000005</v>
      </c>
      <c r="C423" s="19">
        <f t="shared" si="48"/>
        <v>-23912.074667697034</v>
      </c>
      <c r="D423" s="19">
        <f>C423*Finanzierung!$B$3/100/12</f>
        <v>-63.765532447192093</v>
      </c>
      <c r="E423" s="19">
        <f t="shared" si="55"/>
        <v>3263.7655324471925</v>
      </c>
      <c r="J423">
        <v>420</v>
      </c>
      <c r="K423" s="19">
        <f t="shared" si="52"/>
        <v>2240</v>
      </c>
      <c r="L423" s="19">
        <f t="shared" si="53"/>
        <v>717588.44486781687</v>
      </c>
      <c r="M423" s="19">
        <f>L423*Finanzierung!$B$3/100/12</f>
        <v>1913.5691863141783</v>
      </c>
      <c r="N423" s="19">
        <f t="shared" si="54"/>
        <v>326.4308136858217</v>
      </c>
      <c r="O423">
        <f>O422*(1+Finanzierung!$B$6/100/12)+$H$3</f>
        <v>1367721.8868097453</v>
      </c>
      <c r="S423" s="22">
        <f t="shared" si="49"/>
        <v>35</v>
      </c>
      <c r="T423" s="19">
        <f t="shared" si="50"/>
        <v>23912.074667697034</v>
      </c>
      <c r="U423" s="19">
        <f t="shared" si="51"/>
        <v>650133.44194192847</v>
      </c>
    </row>
    <row r="424" spans="1:21" x14ac:dyDescent="0.2">
      <c r="A424">
        <v>421</v>
      </c>
      <c r="B424" s="19">
        <f>Finanzierung!$B$5</f>
        <v>3200.0000000000005</v>
      </c>
      <c r="C424" s="19">
        <f t="shared" si="48"/>
        <v>-27175.840200144226</v>
      </c>
      <c r="D424" s="19">
        <f>C424*Finanzierung!$B$3/100/12</f>
        <v>-72.468907200384606</v>
      </c>
      <c r="E424" s="19">
        <f t="shared" si="55"/>
        <v>3272.4689072003853</v>
      </c>
      <c r="J424">
        <v>421</v>
      </c>
      <c r="K424" s="19">
        <f t="shared" si="52"/>
        <v>2240</v>
      </c>
      <c r="L424" s="19">
        <f t="shared" si="53"/>
        <v>717262.014054131</v>
      </c>
      <c r="M424" s="19">
        <f>L424*Finanzierung!$B$3/100/12</f>
        <v>1912.6987041443492</v>
      </c>
      <c r="N424" s="19">
        <f t="shared" si="54"/>
        <v>327.30129585565078</v>
      </c>
      <c r="O424">
        <f>O423*(1+Finanzierung!$B$6/100/12)+$H$3</f>
        <v>1375520.496243794</v>
      </c>
      <c r="S424" s="22">
        <f t="shared" si="49"/>
        <v>35.083333333333336</v>
      </c>
      <c r="T424" s="19">
        <f t="shared" si="50"/>
        <v>27175.840200144226</v>
      </c>
      <c r="U424" s="19">
        <f t="shared" si="51"/>
        <v>658258.48218966299</v>
      </c>
    </row>
    <row r="425" spans="1:21" x14ac:dyDescent="0.2">
      <c r="A425">
        <v>422</v>
      </c>
      <c r="B425" s="19">
        <f>Finanzierung!$B$5</f>
        <v>3200.0000000000005</v>
      </c>
      <c r="C425" s="19">
        <f t="shared" si="48"/>
        <v>-30448.309107344612</v>
      </c>
      <c r="D425" s="19">
        <f>C425*Finanzierung!$B$3/100/12</f>
        <v>-81.195490952918973</v>
      </c>
      <c r="E425" s="19">
        <f t="shared" si="55"/>
        <v>3281.1954909529195</v>
      </c>
      <c r="J425">
        <v>422</v>
      </c>
      <c r="K425" s="19">
        <f t="shared" si="52"/>
        <v>2240</v>
      </c>
      <c r="L425" s="19">
        <f t="shared" si="53"/>
        <v>716934.71275827533</v>
      </c>
      <c r="M425" s="19">
        <f>L425*Finanzierung!$B$3/100/12</f>
        <v>1911.8259006887345</v>
      </c>
      <c r="N425" s="19">
        <f t="shared" si="54"/>
        <v>328.17409931126554</v>
      </c>
      <c r="O425">
        <f>O424*(1+Finanzierung!$B$6/100/12)+$H$3</f>
        <v>1383358.0987250127</v>
      </c>
      <c r="S425" s="22">
        <f t="shared" si="49"/>
        <v>35.166666666666664</v>
      </c>
      <c r="T425" s="19">
        <f t="shared" si="50"/>
        <v>30448.309107344612</v>
      </c>
      <c r="U425" s="19">
        <f t="shared" si="51"/>
        <v>666423.38596673741</v>
      </c>
    </row>
    <row r="426" spans="1:21" x14ac:dyDescent="0.2">
      <c r="A426">
        <v>423</v>
      </c>
      <c r="B426" s="19">
        <f>Finanzierung!$B$5</f>
        <v>3200.0000000000005</v>
      </c>
      <c r="C426" s="19">
        <f t="shared" si="48"/>
        <v>-33729.504598297528</v>
      </c>
      <c r="D426" s="19">
        <f>C426*Finanzierung!$B$3/100/12</f>
        <v>-89.945345595460083</v>
      </c>
      <c r="E426" s="19">
        <f t="shared" si="55"/>
        <v>3289.9453455954604</v>
      </c>
      <c r="J426">
        <v>423</v>
      </c>
      <c r="K426" s="19">
        <f t="shared" si="52"/>
        <v>2240</v>
      </c>
      <c r="L426" s="19">
        <f t="shared" si="53"/>
        <v>716606.5386589641</v>
      </c>
      <c r="M426" s="19">
        <f>L426*Finanzierung!$B$3/100/12</f>
        <v>1910.9507697572378</v>
      </c>
      <c r="N426" s="19">
        <f t="shared" si="54"/>
        <v>329.04923024276218</v>
      </c>
      <c r="O426">
        <f>O425*(1+Finanzierung!$B$6/100/12)+$H$3</f>
        <v>1391234.8892186377</v>
      </c>
      <c r="S426" s="22">
        <f t="shared" si="49"/>
        <v>35.25</v>
      </c>
      <c r="T426" s="19">
        <f t="shared" si="50"/>
        <v>33729.504598297528</v>
      </c>
      <c r="U426" s="19">
        <f t="shared" si="51"/>
        <v>674628.35055967362</v>
      </c>
    </row>
    <row r="427" spans="1:21" x14ac:dyDescent="0.2">
      <c r="A427">
        <v>424</v>
      </c>
      <c r="B427" s="19">
        <f>Finanzierung!$B$5</f>
        <v>3200.0000000000005</v>
      </c>
      <c r="C427" s="19">
        <f t="shared" si="48"/>
        <v>-37019.449943892985</v>
      </c>
      <c r="D427" s="19">
        <f>C427*Finanzierung!$B$3/100/12</f>
        <v>-98.718533183714626</v>
      </c>
      <c r="E427" s="19">
        <f t="shared" si="55"/>
        <v>3298.718533183715</v>
      </c>
      <c r="J427">
        <v>424</v>
      </c>
      <c r="K427" s="19">
        <f t="shared" si="52"/>
        <v>2240</v>
      </c>
      <c r="L427" s="19">
        <f t="shared" si="53"/>
        <v>716277.48942872137</v>
      </c>
      <c r="M427" s="19">
        <f>L427*Finanzierung!$B$3/100/12</f>
        <v>1910.0733051432571</v>
      </c>
      <c r="N427" s="19">
        <f t="shared" si="54"/>
        <v>329.92669485674287</v>
      </c>
      <c r="O427">
        <f>O426*(1+Finanzierung!$B$6/100/12)+$H$3</f>
        <v>1399151.0636647309</v>
      </c>
      <c r="S427" s="22">
        <f t="shared" si="49"/>
        <v>35.333333333333336</v>
      </c>
      <c r="T427" s="19">
        <f t="shared" si="50"/>
        <v>37019.449943892985</v>
      </c>
      <c r="U427" s="19">
        <f t="shared" si="51"/>
        <v>682873.5742360095</v>
      </c>
    </row>
    <row r="428" spans="1:21" x14ac:dyDescent="0.2">
      <c r="A428">
        <v>425</v>
      </c>
      <c r="B428" s="19">
        <f>Finanzierung!$B$5</f>
        <v>3200.0000000000005</v>
      </c>
      <c r="C428" s="19">
        <f t="shared" si="48"/>
        <v>-40318.168477076702</v>
      </c>
      <c r="D428" s="19">
        <f>C428*Finanzierung!$B$3/100/12</f>
        <v>-107.5151159388712</v>
      </c>
      <c r="E428" s="19">
        <f t="shared" si="55"/>
        <v>3307.5151159388715</v>
      </c>
      <c r="J428">
        <v>425</v>
      </c>
      <c r="K428" s="19">
        <f t="shared" si="52"/>
        <v>2240</v>
      </c>
      <c r="L428" s="19">
        <f t="shared" si="53"/>
        <v>715947.56273386464</v>
      </c>
      <c r="M428" s="19">
        <f>L428*Finanzierung!$B$3/100/12</f>
        <v>1909.193500623639</v>
      </c>
      <c r="N428" s="19">
        <f t="shared" si="54"/>
        <v>330.80649937636099</v>
      </c>
      <c r="O428">
        <f>O427*(1+Finanzierung!$B$6/100/12)+$H$3</f>
        <v>1407106.8189830545</v>
      </c>
      <c r="S428" s="22">
        <f t="shared" si="49"/>
        <v>35.416666666666664</v>
      </c>
      <c r="T428" s="19">
        <f t="shared" si="50"/>
        <v>40318.168477076702</v>
      </c>
      <c r="U428" s="19">
        <f t="shared" si="51"/>
        <v>691159.25624918984</v>
      </c>
    </row>
    <row r="429" spans="1:21" x14ac:dyDescent="0.2">
      <c r="A429">
        <v>426</v>
      </c>
      <c r="B429" s="19">
        <f>Finanzierung!$B$5</f>
        <v>3200.0000000000005</v>
      </c>
      <c r="C429" s="19">
        <f t="shared" si="48"/>
        <v>-43625.683593015572</v>
      </c>
      <c r="D429" s="19">
        <f>C429*Finanzierung!$B$3/100/12</f>
        <v>-116.33515624804153</v>
      </c>
      <c r="E429" s="19">
        <f t="shared" si="55"/>
        <v>3316.335156248042</v>
      </c>
      <c r="J429">
        <v>426</v>
      </c>
      <c r="K429" s="19">
        <f t="shared" si="52"/>
        <v>2240</v>
      </c>
      <c r="L429" s="19">
        <f t="shared" si="53"/>
        <v>715616.75623448833</v>
      </c>
      <c r="M429" s="19">
        <f>L429*Finanzierung!$B$3/100/12</f>
        <v>1908.3113499586359</v>
      </c>
      <c r="N429" s="19">
        <f t="shared" si="54"/>
        <v>331.6886500413641</v>
      </c>
      <c r="O429">
        <f>O428*(1+Finanzierung!$B$6/100/12)+$H$3</f>
        <v>1415102.3530779695</v>
      </c>
      <c r="S429" s="22">
        <f t="shared" si="49"/>
        <v>35.5</v>
      </c>
      <c r="T429" s="19">
        <f t="shared" si="50"/>
        <v>43625.683593015572</v>
      </c>
      <c r="U429" s="19">
        <f t="shared" si="51"/>
        <v>699485.59684348118</v>
      </c>
    </row>
    <row r="430" spans="1:21" x14ac:dyDescent="0.2">
      <c r="A430">
        <v>427</v>
      </c>
      <c r="B430" s="19">
        <f>Finanzierung!$B$5</f>
        <v>3200.0000000000005</v>
      </c>
      <c r="C430" s="19">
        <f t="shared" si="48"/>
        <v>-46942.018749263618</v>
      </c>
      <c r="D430" s="19">
        <f>C430*Finanzierung!$B$3/100/12</f>
        <v>-125.17871666470297</v>
      </c>
      <c r="E430" s="19">
        <f t="shared" si="55"/>
        <v>3325.1787166647036</v>
      </c>
      <c r="J430">
        <v>427</v>
      </c>
      <c r="K430" s="19">
        <f t="shared" si="52"/>
        <v>2240</v>
      </c>
      <c r="L430" s="19">
        <f t="shared" si="53"/>
        <v>715285.06758444698</v>
      </c>
      <c r="M430" s="19">
        <f>L430*Finanzierung!$B$3/100/12</f>
        <v>1907.4268468918588</v>
      </c>
      <c r="N430" s="19">
        <f t="shared" si="54"/>
        <v>332.57315310814124</v>
      </c>
      <c r="O430">
        <f>O429*(1+Finanzierung!$B$6/100/12)+$H$3</f>
        <v>1423137.8648433592</v>
      </c>
      <c r="S430" s="22">
        <f t="shared" si="49"/>
        <v>35.583333333333336</v>
      </c>
      <c r="T430" s="19">
        <f t="shared" si="50"/>
        <v>46942.018749263618</v>
      </c>
      <c r="U430" s="19">
        <f t="shared" si="51"/>
        <v>707852.79725891224</v>
      </c>
    </row>
    <row r="431" spans="1:21" x14ac:dyDescent="0.2">
      <c r="A431">
        <v>428</v>
      </c>
      <c r="B431" s="19">
        <f>Finanzierung!$B$5</f>
        <v>3200.0000000000005</v>
      </c>
      <c r="C431" s="19">
        <f t="shared" si="48"/>
        <v>-50267.197465928322</v>
      </c>
      <c r="D431" s="19">
        <f>C431*Finanzierung!$B$3/100/12</f>
        <v>-134.04585990914219</v>
      </c>
      <c r="E431" s="19">
        <f t="shared" si="55"/>
        <v>3334.0458599091426</v>
      </c>
      <c r="J431">
        <v>428</v>
      </c>
      <c r="K431" s="19">
        <f t="shared" si="52"/>
        <v>2240</v>
      </c>
      <c r="L431" s="19">
        <f t="shared" si="53"/>
        <v>714952.49443133886</v>
      </c>
      <c r="M431" s="19">
        <f>L431*Finanzierung!$B$3/100/12</f>
        <v>1906.539985150237</v>
      </c>
      <c r="N431" s="19">
        <f t="shared" si="54"/>
        <v>333.46001484976296</v>
      </c>
      <c r="O431">
        <f>O430*(1+Finanzierung!$B$6/100/12)+$H$3</f>
        <v>1431213.5541675759</v>
      </c>
      <c r="S431" s="22">
        <f t="shared" si="49"/>
        <v>35.666666666666664</v>
      </c>
      <c r="T431" s="19">
        <f t="shared" si="50"/>
        <v>50267.197465928322</v>
      </c>
      <c r="U431" s="19">
        <f t="shared" si="51"/>
        <v>716261.05973623705</v>
      </c>
    </row>
    <row r="432" spans="1:21" x14ac:dyDescent="0.2">
      <c r="A432">
        <v>429</v>
      </c>
      <c r="B432" s="19">
        <f>Finanzierung!$B$5</f>
        <v>3200.0000000000005</v>
      </c>
      <c r="C432" s="19">
        <f t="shared" si="48"/>
        <v>-53601.243325837466</v>
      </c>
      <c r="D432" s="19">
        <f>C432*Finanzierung!$B$3/100/12</f>
        <v>-142.93664886889991</v>
      </c>
      <c r="E432" s="19">
        <f t="shared" si="55"/>
        <v>3342.9366488689002</v>
      </c>
      <c r="J432">
        <v>429</v>
      </c>
      <c r="K432" s="19">
        <f t="shared" si="52"/>
        <v>2240</v>
      </c>
      <c r="L432" s="19">
        <f t="shared" si="53"/>
        <v>714619.03441648907</v>
      </c>
      <c r="M432" s="19">
        <f>L432*Finanzierung!$B$3/100/12</f>
        <v>1905.6507584439712</v>
      </c>
      <c r="N432" s="19">
        <f t="shared" si="54"/>
        <v>334.3492415560288</v>
      </c>
      <c r="O432">
        <f>O431*(1+Finanzierung!$B$6/100/12)+$H$3</f>
        <v>1439329.6219384137</v>
      </c>
      <c r="S432" s="22">
        <f t="shared" si="49"/>
        <v>35.75</v>
      </c>
      <c r="T432" s="19">
        <f t="shared" si="50"/>
        <v>53601.243325837466</v>
      </c>
      <c r="U432" s="19">
        <f t="shared" si="51"/>
        <v>724710.58752192464</v>
      </c>
    </row>
    <row r="433" spans="1:21" x14ac:dyDescent="0.2">
      <c r="A433">
        <v>430</v>
      </c>
      <c r="B433" s="19">
        <f>Finanzierung!$B$5</f>
        <v>3200.0000000000005</v>
      </c>
      <c r="C433" s="19">
        <f t="shared" si="48"/>
        <v>-56944.179974706363</v>
      </c>
      <c r="D433" s="19">
        <f>C433*Finanzierung!$B$3/100/12</f>
        <v>-151.85114659921697</v>
      </c>
      <c r="E433" s="19">
        <f t="shared" si="55"/>
        <v>3351.8511465992174</v>
      </c>
      <c r="J433">
        <v>430</v>
      </c>
      <c r="K433" s="19">
        <f t="shared" si="52"/>
        <v>2240</v>
      </c>
      <c r="L433" s="19">
        <f t="shared" si="53"/>
        <v>714284.68517493305</v>
      </c>
      <c r="M433" s="19">
        <f>L433*Finanzierung!$B$3/100/12</f>
        <v>1904.7591604664883</v>
      </c>
      <c r="N433" s="19">
        <f t="shared" si="54"/>
        <v>335.24083953351169</v>
      </c>
      <c r="O433">
        <f>O432*(1+Finanzierung!$B$6/100/12)+$H$3</f>
        <v>1447486.2700481056</v>
      </c>
      <c r="S433" s="22">
        <f t="shared" si="49"/>
        <v>35.833333333333336</v>
      </c>
      <c r="T433" s="19">
        <f t="shared" si="50"/>
        <v>56944.179974706363</v>
      </c>
      <c r="U433" s="19">
        <f t="shared" si="51"/>
        <v>733201.58487317257</v>
      </c>
    </row>
    <row r="434" spans="1:21" x14ac:dyDescent="0.2">
      <c r="A434">
        <v>431</v>
      </c>
      <c r="B434" s="19">
        <f>Finanzierung!$B$5</f>
        <v>3200.0000000000005</v>
      </c>
      <c r="C434" s="19">
        <f t="shared" si="48"/>
        <v>-60296.031121305583</v>
      </c>
      <c r="D434" s="19">
        <f>C434*Finanzierung!$B$3/100/12</f>
        <v>-160.78941632348156</v>
      </c>
      <c r="E434" s="19">
        <f t="shared" si="55"/>
        <v>3360.7894163234819</v>
      </c>
      <c r="J434">
        <v>431</v>
      </c>
      <c r="K434" s="19">
        <f t="shared" si="52"/>
        <v>2240</v>
      </c>
      <c r="L434" s="19">
        <f t="shared" si="53"/>
        <v>713949.44433539954</v>
      </c>
      <c r="M434" s="19">
        <f>L434*Finanzierung!$B$3/100/12</f>
        <v>1903.8651848943989</v>
      </c>
      <c r="N434" s="19">
        <f t="shared" si="54"/>
        <v>336.13481510560109</v>
      </c>
      <c r="O434">
        <f>O433*(1+Finanzierung!$B$6/100/12)+$H$3</f>
        <v>1455683.7013983461</v>
      </c>
      <c r="S434" s="22">
        <f t="shared" si="49"/>
        <v>35.916666666666664</v>
      </c>
      <c r="T434" s="19">
        <f t="shared" si="50"/>
        <v>60296.031121305583</v>
      </c>
      <c r="U434" s="19">
        <f t="shared" si="51"/>
        <v>741734.25706294656</v>
      </c>
    </row>
    <row r="435" spans="1:21" x14ac:dyDescent="0.2">
      <c r="A435">
        <v>432</v>
      </c>
      <c r="B435" s="19">
        <f>Finanzierung!$B$5</f>
        <v>3200.0000000000005</v>
      </c>
      <c r="C435" s="19">
        <f t="shared" si="48"/>
        <v>-63656.820537629064</v>
      </c>
      <c r="D435" s="19">
        <f>C435*Finanzierung!$B$3/100/12</f>
        <v>-169.75152143367751</v>
      </c>
      <c r="E435" s="19">
        <f t="shared" si="55"/>
        <v>3369.7515214336781</v>
      </c>
      <c r="J435">
        <v>432</v>
      </c>
      <c r="K435" s="19">
        <f t="shared" si="52"/>
        <v>2240</v>
      </c>
      <c r="L435" s="19">
        <f t="shared" si="53"/>
        <v>713613.30952029396</v>
      </c>
      <c r="M435" s="19">
        <f>L435*Finanzierung!$B$3/100/12</f>
        <v>1902.9688253874508</v>
      </c>
      <c r="N435" s="19">
        <f t="shared" si="54"/>
        <v>337.03117461254919</v>
      </c>
      <c r="O435">
        <f>O434*(1+Finanzierung!$B$6/100/12)+$H$3</f>
        <v>1463922.1199053377</v>
      </c>
      <c r="S435" s="22">
        <f t="shared" si="49"/>
        <v>36</v>
      </c>
      <c r="T435" s="19">
        <f t="shared" si="50"/>
        <v>63656.820537629064</v>
      </c>
      <c r="U435" s="19">
        <f t="shared" si="51"/>
        <v>750308.81038504373</v>
      </c>
    </row>
    <row r="436" spans="1:21" x14ac:dyDescent="0.2">
      <c r="A436">
        <v>433</v>
      </c>
      <c r="B436" s="19">
        <f>Finanzierung!$B$5</f>
        <v>3200.0000000000005</v>
      </c>
      <c r="C436" s="19">
        <f t="shared" si="48"/>
        <v>-67026.572059062746</v>
      </c>
      <c r="D436" s="19">
        <f>C436*Finanzierung!$B$3/100/12</f>
        <v>-178.73752549083397</v>
      </c>
      <c r="E436" s="19">
        <f t="shared" si="55"/>
        <v>3378.7375254908343</v>
      </c>
      <c r="J436">
        <v>433</v>
      </c>
      <c r="K436" s="19">
        <f t="shared" si="52"/>
        <v>2240</v>
      </c>
      <c r="L436" s="19">
        <f t="shared" si="53"/>
        <v>713276.27834568138</v>
      </c>
      <c r="M436" s="19">
        <f>L436*Finanzierung!$B$3/100/12</f>
        <v>1902.0700755884836</v>
      </c>
      <c r="N436" s="19">
        <f t="shared" si="54"/>
        <v>337.92992441151637</v>
      </c>
      <c r="O436">
        <f>O435*(1+Finanzierung!$B$6/100/12)+$H$3</f>
        <v>1472201.7305048641</v>
      </c>
      <c r="S436" s="22">
        <f t="shared" si="49"/>
        <v>36.083333333333336</v>
      </c>
      <c r="T436" s="19">
        <f t="shared" si="50"/>
        <v>67026.572059062746</v>
      </c>
      <c r="U436" s="19">
        <f t="shared" si="51"/>
        <v>758925.45215918275</v>
      </c>
    </row>
    <row r="437" spans="1:21" x14ac:dyDescent="0.2">
      <c r="A437">
        <v>434</v>
      </c>
      <c r="B437" s="19">
        <f>Finanzierung!$B$5</f>
        <v>3200.0000000000005</v>
      </c>
      <c r="C437" s="19">
        <f t="shared" si="48"/>
        <v>-70405.309584553586</v>
      </c>
      <c r="D437" s="19">
        <f>C437*Finanzierung!$B$3/100/12</f>
        <v>-187.74749222547624</v>
      </c>
      <c r="E437" s="19">
        <f t="shared" si="55"/>
        <v>3387.7474922254769</v>
      </c>
      <c r="J437">
        <v>434</v>
      </c>
      <c r="K437" s="19">
        <f t="shared" si="52"/>
        <v>2240</v>
      </c>
      <c r="L437" s="19">
        <f t="shared" si="53"/>
        <v>712938.34842126991</v>
      </c>
      <c r="M437" s="19">
        <f>L437*Finanzierung!$B$3/100/12</f>
        <v>1901.1689291233863</v>
      </c>
      <c r="N437" s="19">
        <f t="shared" si="54"/>
        <v>338.83107087661369</v>
      </c>
      <c r="O437">
        <f>O436*(1+Finanzierung!$B$6/100/12)+$H$3</f>
        <v>1480522.7391573882</v>
      </c>
      <c r="S437" s="22">
        <f t="shared" si="49"/>
        <v>36.166666666666664</v>
      </c>
      <c r="T437" s="19">
        <f t="shared" si="50"/>
        <v>70405.309584553586</v>
      </c>
      <c r="U437" s="19">
        <f t="shared" si="51"/>
        <v>767584.39073611831</v>
      </c>
    </row>
    <row r="438" spans="1:21" x14ac:dyDescent="0.2">
      <c r="A438">
        <v>435</v>
      </c>
      <c r="B438" s="19">
        <f>Finanzierung!$B$5</f>
        <v>3200.0000000000005</v>
      </c>
      <c r="C438" s="19">
        <f t="shared" si="48"/>
        <v>-73793.057076779063</v>
      </c>
      <c r="D438" s="19">
        <f>C438*Finanzierung!$B$3/100/12</f>
        <v>-196.7814855380775</v>
      </c>
      <c r="E438" s="19">
        <f t="shared" si="55"/>
        <v>3396.781485538078</v>
      </c>
      <c r="J438">
        <v>435</v>
      </c>
      <c r="K438" s="19">
        <f t="shared" si="52"/>
        <v>2240</v>
      </c>
      <c r="L438" s="19">
        <f t="shared" si="53"/>
        <v>712599.51735039335</v>
      </c>
      <c r="M438" s="19">
        <f>L438*Finanzierung!$B$3/100/12</f>
        <v>1900.2653796010491</v>
      </c>
      <c r="N438" s="19">
        <f t="shared" si="54"/>
        <v>339.73462039895094</v>
      </c>
      <c r="O438">
        <f>O437*(1+Finanzierung!$B$6/100/12)+$H$3</f>
        <v>1488885.352853175</v>
      </c>
      <c r="S438" s="22">
        <f t="shared" si="49"/>
        <v>36.25</v>
      </c>
      <c r="T438" s="19">
        <f t="shared" si="50"/>
        <v>73793.057076779063</v>
      </c>
      <c r="U438" s="19">
        <f t="shared" si="51"/>
        <v>776285.83550278167</v>
      </c>
    </row>
    <row r="439" spans="1:21" x14ac:dyDescent="0.2">
      <c r="A439">
        <v>436</v>
      </c>
      <c r="B439" s="19">
        <f>Finanzierung!$B$5</f>
        <v>3200.0000000000005</v>
      </c>
      <c r="C439" s="19">
        <f t="shared" si="48"/>
        <v>-77189.838562317134</v>
      </c>
      <c r="D439" s="19">
        <f>C439*Finanzierung!$B$3/100/12</f>
        <v>-205.83956949951235</v>
      </c>
      <c r="E439" s="19">
        <f t="shared" si="55"/>
        <v>3405.8395694995129</v>
      </c>
      <c r="J439">
        <v>436</v>
      </c>
      <c r="K439" s="19">
        <f t="shared" si="52"/>
        <v>2240</v>
      </c>
      <c r="L439" s="19">
        <f t="shared" si="53"/>
        <v>712259.78272999439</v>
      </c>
      <c r="M439" s="19">
        <f>L439*Finanzierung!$B$3/100/12</f>
        <v>1899.3594206133187</v>
      </c>
      <c r="N439" s="19">
        <f t="shared" si="54"/>
        <v>340.64057938668134</v>
      </c>
      <c r="O439">
        <f>O438*(1+Finanzierung!$B$6/100/12)+$H$3</f>
        <v>1497289.7796174407</v>
      </c>
      <c r="S439" s="22">
        <f t="shared" si="49"/>
        <v>36.333333333333336</v>
      </c>
      <c r="T439" s="19">
        <f t="shared" si="50"/>
        <v>77189.838562317134</v>
      </c>
      <c r="U439" s="19">
        <f t="shared" si="51"/>
        <v>785029.99688744626</v>
      </c>
    </row>
    <row r="440" spans="1:21" x14ac:dyDescent="0.2">
      <c r="A440">
        <v>437</v>
      </c>
      <c r="B440" s="19">
        <f>Finanzierung!$B$5</f>
        <v>3200.0000000000005</v>
      </c>
      <c r="C440" s="19">
        <f t="shared" si="48"/>
        <v>-80595.678131816647</v>
      </c>
      <c r="D440" s="19">
        <f>C440*Finanzierung!$B$3/100/12</f>
        <v>-214.92180835151109</v>
      </c>
      <c r="E440" s="19">
        <f t="shared" si="55"/>
        <v>3414.9218083515116</v>
      </c>
      <c r="J440">
        <v>437</v>
      </c>
      <c r="K440" s="19">
        <f t="shared" si="52"/>
        <v>2240</v>
      </c>
      <c r="L440" s="19">
        <f t="shared" si="53"/>
        <v>711919.14215060766</v>
      </c>
      <c r="M440" s="19">
        <f>L440*Finanzierung!$B$3/100/12</f>
        <v>1898.4510457349536</v>
      </c>
      <c r="N440" s="19">
        <f t="shared" si="54"/>
        <v>341.5489542650464</v>
      </c>
      <c r="O440">
        <f>O439*(1+Finanzierung!$B$6/100/12)+$H$3</f>
        <v>1505736.2285155277</v>
      </c>
      <c r="S440" s="22">
        <f t="shared" si="49"/>
        <v>36.416666666666664</v>
      </c>
      <c r="T440" s="19">
        <f t="shared" si="50"/>
        <v>80595.678131816647</v>
      </c>
      <c r="U440" s="19">
        <f t="shared" si="51"/>
        <v>793817.08636492002</v>
      </c>
    </row>
    <row r="441" spans="1:21" x14ac:dyDescent="0.2">
      <c r="A441">
        <v>438</v>
      </c>
      <c r="B441" s="19">
        <f>Finanzierung!$B$5</f>
        <v>3200.0000000000005</v>
      </c>
      <c r="C441" s="19">
        <f t="shared" si="48"/>
        <v>-84010.599940168162</v>
      </c>
      <c r="D441" s="19">
        <f>C441*Finanzierung!$B$3/100/12</f>
        <v>-224.02826650711509</v>
      </c>
      <c r="E441" s="19">
        <f t="shared" si="55"/>
        <v>3424.0282665071154</v>
      </c>
      <c r="J441">
        <v>438</v>
      </c>
      <c r="K441" s="19">
        <f t="shared" si="52"/>
        <v>2240</v>
      </c>
      <c r="L441" s="19">
        <f t="shared" si="53"/>
        <v>711577.59319634258</v>
      </c>
      <c r="M441" s="19">
        <f>L441*Finanzierung!$B$3/100/12</f>
        <v>1897.5402485235802</v>
      </c>
      <c r="N441" s="19">
        <f t="shared" si="54"/>
        <v>342.4597514764198</v>
      </c>
      <c r="O441">
        <f>O440*(1+Finanzierung!$B$6/100/12)+$H$3</f>
        <v>1514224.9096581051</v>
      </c>
      <c r="S441" s="22">
        <f t="shared" si="49"/>
        <v>36.5</v>
      </c>
      <c r="T441" s="19">
        <f t="shared" si="50"/>
        <v>84010.599940168162</v>
      </c>
      <c r="U441" s="19">
        <f t="shared" si="51"/>
        <v>802647.31646176253</v>
      </c>
    </row>
    <row r="442" spans="1:21" x14ac:dyDescent="0.2">
      <c r="A442">
        <v>439</v>
      </c>
      <c r="B442" s="19">
        <f>Finanzierung!$B$5</f>
        <v>3200.0000000000005</v>
      </c>
      <c r="C442" s="19">
        <f t="shared" si="48"/>
        <v>-87434.628206675276</v>
      </c>
      <c r="D442" s="19">
        <f>C442*Finanzierung!$B$3/100/12</f>
        <v>-233.15900855113409</v>
      </c>
      <c r="E442" s="19">
        <f t="shared" si="55"/>
        <v>3433.1590085511343</v>
      </c>
      <c r="J442">
        <v>439</v>
      </c>
      <c r="K442" s="19">
        <f t="shared" si="52"/>
        <v>2240</v>
      </c>
      <c r="L442" s="19">
        <f t="shared" si="53"/>
        <v>711235.13344486617</v>
      </c>
      <c r="M442" s="19">
        <f>L442*Finanzierung!$B$3/100/12</f>
        <v>1896.6270225196433</v>
      </c>
      <c r="N442" s="19">
        <f t="shared" si="54"/>
        <v>343.37297748035667</v>
      </c>
      <c r="O442">
        <f>O441*(1+Finanzierung!$B$6/100/12)+$H$3</f>
        <v>1522756.0342063955</v>
      </c>
      <c r="S442" s="22">
        <f t="shared" si="49"/>
        <v>36.583333333333336</v>
      </c>
      <c r="T442" s="19">
        <f t="shared" si="50"/>
        <v>87434.628206675276</v>
      </c>
      <c r="U442" s="19">
        <f t="shared" si="51"/>
        <v>811520.90076152934</v>
      </c>
    </row>
    <row r="443" spans="1:21" x14ac:dyDescent="0.2">
      <c r="A443">
        <v>440</v>
      </c>
      <c r="B443" s="19">
        <f>Finanzierung!$B$5</f>
        <v>3200.0000000000005</v>
      </c>
      <c r="C443" s="19">
        <f t="shared" si="48"/>
        <v>-90867.787215226417</v>
      </c>
      <c r="D443" s="19">
        <f>C443*Finanzierung!$B$3/100/12</f>
        <v>-242.31409924060378</v>
      </c>
      <c r="E443" s="19">
        <f t="shared" si="55"/>
        <v>3442.3140992406043</v>
      </c>
      <c r="J443">
        <v>440</v>
      </c>
      <c r="K443" s="19">
        <f t="shared" si="52"/>
        <v>2240</v>
      </c>
      <c r="L443" s="19">
        <f t="shared" si="53"/>
        <v>710891.76046738576</v>
      </c>
      <c r="M443" s="19">
        <f>L443*Finanzierung!$B$3/100/12</f>
        <v>1895.711361246362</v>
      </c>
      <c r="N443" s="19">
        <f t="shared" si="54"/>
        <v>344.288638753638</v>
      </c>
      <c r="O443">
        <f>O442*(1+Finanzierung!$B$6/100/12)+$H$3</f>
        <v>1531329.8143774273</v>
      </c>
      <c r="S443" s="22">
        <f t="shared" si="49"/>
        <v>36.666666666666664</v>
      </c>
      <c r="T443" s="19">
        <f t="shared" si="50"/>
        <v>90867.787215226417</v>
      </c>
      <c r="U443" s="19">
        <f t="shared" si="51"/>
        <v>820438.05391004158</v>
      </c>
    </row>
    <row r="444" spans="1:21" x14ac:dyDescent="0.2">
      <c r="A444">
        <v>441</v>
      </c>
      <c r="B444" s="19">
        <f>Finanzierung!$B$5</f>
        <v>3200.0000000000005</v>
      </c>
      <c r="C444" s="19">
        <f t="shared" ref="C444:C480" si="56">C443-E443</f>
        <v>-94310.101314467029</v>
      </c>
      <c r="D444" s="19">
        <f>C444*Finanzierung!$B$3/100/12</f>
        <v>-251.49360350524543</v>
      </c>
      <c r="E444" s="19">
        <f t="shared" si="55"/>
        <v>3451.493603505246</v>
      </c>
      <c r="J444">
        <v>441</v>
      </c>
      <c r="K444" s="19">
        <f t="shared" si="52"/>
        <v>2240</v>
      </c>
      <c r="L444" s="19">
        <f t="shared" si="53"/>
        <v>710547.47182863217</v>
      </c>
      <c r="M444" s="19">
        <f>L444*Finanzierung!$B$3/100/12</f>
        <v>1894.7932582096862</v>
      </c>
      <c r="N444" s="19">
        <f t="shared" si="54"/>
        <v>345.2067417903138</v>
      </c>
      <c r="O444">
        <f>O443*(1+Finanzierung!$B$6/100/12)+$H$3</f>
        <v>1539946.4634493142</v>
      </c>
      <c r="S444" s="22">
        <f t="shared" si="49"/>
        <v>36.75</v>
      </c>
      <c r="T444" s="19">
        <f t="shared" si="50"/>
        <v>94310.101314467029</v>
      </c>
      <c r="U444" s="19">
        <f t="shared" si="51"/>
        <v>829398.99162068206</v>
      </c>
    </row>
    <row r="445" spans="1:21" x14ac:dyDescent="0.2">
      <c r="A445">
        <v>442</v>
      </c>
      <c r="B445" s="19">
        <f>Finanzierung!$B$5</f>
        <v>3200.0000000000005</v>
      </c>
      <c r="C445" s="19">
        <f t="shared" si="56"/>
        <v>-97761.594917972281</v>
      </c>
      <c r="D445" s="19">
        <f>C445*Finanzierung!$B$3/100/12</f>
        <v>-260.69758644792608</v>
      </c>
      <c r="E445" s="19">
        <f t="shared" si="55"/>
        <v>3460.6975864479264</v>
      </c>
      <c r="J445">
        <v>442</v>
      </c>
      <c r="K445" s="19">
        <f t="shared" si="52"/>
        <v>2240</v>
      </c>
      <c r="L445" s="19">
        <f t="shared" si="53"/>
        <v>710202.26508684189</v>
      </c>
      <c r="M445" s="19">
        <f>L445*Finanzierung!$B$3/100/12</f>
        <v>1893.8727068982453</v>
      </c>
      <c r="N445" s="19">
        <f t="shared" si="54"/>
        <v>346.12729310175473</v>
      </c>
      <c r="O445">
        <f>O444*(1+Finanzierung!$B$6/100/12)+$H$3</f>
        <v>1548606.1957665607</v>
      </c>
      <c r="S445" s="22">
        <f t="shared" si="49"/>
        <v>36.833333333333336</v>
      </c>
      <c r="T445" s="19">
        <f t="shared" si="50"/>
        <v>97761.594917972281</v>
      </c>
      <c r="U445" s="19">
        <f t="shared" si="51"/>
        <v>838403.93067971885</v>
      </c>
    </row>
    <row r="446" spans="1:21" x14ac:dyDescent="0.2">
      <c r="A446">
        <v>443</v>
      </c>
      <c r="B446" s="19">
        <f>Finanzierung!$B$5</f>
        <v>3200.0000000000005</v>
      </c>
      <c r="C446" s="19">
        <f t="shared" si="56"/>
        <v>-101222.29250442021</v>
      </c>
      <c r="D446" s="19">
        <f>C446*Finanzierung!$B$3/100/12</f>
        <v>-269.9261133451206</v>
      </c>
      <c r="E446" s="19">
        <f t="shared" si="55"/>
        <v>3469.9261133451209</v>
      </c>
      <c r="J446">
        <v>443</v>
      </c>
      <c r="K446" s="19">
        <f t="shared" si="52"/>
        <v>2240</v>
      </c>
      <c r="L446" s="19">
        <f t="shared" si="53"/>
        <v>709856.13779374014</v>
      </c>
      <c r="M446" s="19">
        <f>L446*Finanzierung!$B$3/100/12</f>
        <v>1892.9497007833072</v>
      </c>
      <c r="N446" s="19">
        <f t="shared" si="54"/>
        <v>347.05029921669279</v>
      </c>
      <c r="O446">
        <f>O445*(1+Finanzierung!$B$6/100/12)+$H$3</f>
        <v>1557309.2267453934</v>
      </c>
      <c r="S446" s="22">
        <f t="shared" si="49"/>
        <v>36.916666666666664</v>
      </c>
      <c r="T446" s="19">
        <f t="shared" si="50"/>
        <v>101222.29250442021</v>
      </c>
      <c r="U446" s="19">
        <f t="shared" si="51"/>
        <v>847453.08895165322</v>
      </c>
    </row>
    <row r="447" spans="1:21" x14ac:dyDescent="0.2">
      <c r="A447">
        <v>444</v>
      </c>
      <c r="B447" s="19">
        <f>Finanzierung!$B$5</f>
        <v>3200.0000000000005</v>
      </c>
      <c r="C447" s="19">
        <f t="shared" si="56"/>
        <v>-104692.21861776533</v>
      </c>
      <c r="D447" s="19">
        <f>C447*Finanzierung!$B$3/100/12</f>
        <v>-279.17924964737421</v>
      </c>
      <c r="E447" s="19">
        <f t="shared" si="55"/>
        <v>3479.1792496473745</v>
      </c>
      <c r="J447">
        <v>444</v>
      </c>
      <c r="K447" s="19">
        <f t="shared" si="52"/>
        <v>2240</v>
      </c>
      <c r="L447" s="19">
        <f t="shared" si="53"/>
        <v>709509.0874945235</v>
      </c>
      <c r="M447" s="19">
        <f>L447*Finanzierung!$B$3/100/12</f>
        <v>1892.0242333187296</v>
      </c>
      <c r="N447" s="19">
        <f t="shared" si="54"/>
        <v>347.97576668127044</v>
      </c>
      <c r="O447">
        <f>O446*(1+Finanzierung!$B$6/100/12)+$H$3</f>
        <v>1566055.7728791202</v>
      </c>
      <c r="S447" s="22">
        <f t="shared" si="49"/>
        <v>37</v>
      </c>
      <c r="T447" s="19">
        <f t="shared" si="50"/>
        <v>104692.21861776533</v>
      </c>
      <c r="U447" s="19">
        <f t="shared" si="51"/>
        <v>856546.6853845967</v>
      </c>
    </row>
    <row r="448" spans="1:21" x14ac:dyDescent="0.2">
      <c r="A448">
        <v>445</v>
      </c>
      <c r="B448" s="19">
        <f>Finanzierung!$B$5</f>
        <v>3200.0000000000005</v>
      </c>
      <c r="C448" s="19">
        <f t="shared" si="56"/>
        <v>-108171.39786741271</v>
      </c>
      <c r="D448" s="19">
        <f>C448*Finanzierung!$B$3/100/12</f>
        <v>-288.45706097976728</v>
      </c>
      <c r="E448" s="19">
        <f t="shared" si="55"/>
        <v>3488.4570609797679</v>
      </c>
      <c r="J448">
        <v>445</v>
      </c>
      <c r="K448" s="19">
        <f t="shared" si="52"/>
        <v>2240</v>
      </c>
      <c r="L448" s="19">
        <f t="shared" si="53"/>
        <v>709161.11172784225</v>
      </c>
      <c r="M448" s="19">
        <f>L448*Finanzierung!$B$3/100/12</f>
        <v>1891.0962979409126</v>
      </c>
      <c r="N448" s="19">
        <f t="shared" si="54"/>
        <v>348.90370205908744</v>
      </c>
      <c r="O448">
        <f>O447*(1+Finanzierung!$B$6/100/12)+$H$3</f>
        <v>1574846.0517435155</v>
      </c>
      <c r="S448" s="22">
        <f t="shared" si="49"/>
        <v>37.083333333333336</v>
      </c>
      <c r="T448" s="19">
        <f t="shared" si="50"/>
        <v>108171.39786741271</v>
      </c>
      <c r="U448" s="19">
        <f t="shared" si="51"/>
        <v>865684.94001567329</v>
      </c>
    </row>
    <row r="449" spans="1:21" x14ac:dyDescent="0.2">
      <c r="A449">
        <v>446</v>
      </c>
      <c r="B449" s="19">
        <f>Finanzierung!$B$5</f>
        <v>3200.0000000000005</v>
      </c>
      <c r="C449" s="19">
        <f t="shared" si="56"/>
        <v>-111659.85492839248</v>
      </c>
      <c r="D449" s="19">
        <f>C449*Finanzierung!$B$3/100/12</f>
        <v>-297.75961314237998</v>
      </c>
      <c r="E449" s="19">
        <f t="shared" si="55"/>
        <v>3497.7596131423807</v>
      </c>
      <c r="J449">
        <v>446</v>
      </c>
      <c r="K449" s="19">
        <f t="shared" si="52"/>
        <v>2240</v>
      </c>
      <c r="L449" s="19">
        <f t="shared" si="53"/>
        <v>708812.20802578318</v>
      </c>
      <c r="M449" s="19">
        <f>L449*Finanzierung!$B$3/100/12</f>
        <v>1890.1658880687553</v>
      </c>
      <c r="N449" s="19">
        <f t="shared" si="54"/>
        <v>349.83411193124471</v>
      </c>
      <c r="O449">
        <f>O448*(1+Finanzierung!$B$6/100/12)+$H$3</f>
        <v>1583680.282002233</v>
      </c>
      <c r="S449" s="22">
        <f t="shared" si="49"/>
        <v>37.166666666666664</v>
      </c>
      <c r="T449" s="19">
        <f t="shared" si="50"/>
        <v>111659.85492839248</v>
      </c>
      <c r="U449" s="19">
        <f t="shared" si="51"/>
        <v>874868.07397644978</v>
      </c>
    </row>
    <row r="450" spans="1:21" x14ac:dyDescent="0.2">
      <c r="A450">
        <v>447</v>
      </c>
      <c r="B450" s="19">
        <f>Finanzierung!$B$5</f>
        <v>3200.0000000000005</v>
      </c>
      <c r="C450" s="19">
        <f t="shared" si="56"/>
        <v>-115157.61454153486</v>
      </c>
      <c r="D450" s="19">
        <f>C450*Finanzierung!$B$3/100/12</f>
        <v>-307.08697211075963</v>
      </c>
      <c r="E450" s="19">
        <f t="shared" si="55"/>
        <v>3507.0869721107601</v>
      </c>
      <c r="J450">
        <v>447</v>
      </c>
      <c r="K450" s="19">
        <f t="shared" si="52"/>
        <v>2240</v>
      </c>
      <c r="L450" s="19">
        <f t="shared" si="53"/>
        <v>708462.37391385192</v>
      </c>
      <c r="M450" s="19">
        <f>L450*Finanzierung!$B$3/100/12</f>
        <v>1889.2329971036052</v>
      </c>
      <c r="N450" s="19">
        <f t="shared" si="54"/>
        <v>350.76700289639484</v>
      </c>
      <c r="O450">
        <f>O449*(1+Finanzierung!$B$6/100/12)+$H$3</f>
        <v>1592558.6834122441</v>
      </c>
      <c r="S450" s="22">
        <f t="shared" si="49"/>
        <v>37.25</v>
      </c>
      <c r="T450" s="19">
        <f t="shared" si="50"/>
        <v>115157.61454153486</v>
      </c>
      <c r="U450" s="19">
        <f t="shared" si="51"/>
        <v>884096.30949839216</v>
      </c>
    </row>
    <row r="451" spans="1:21" x14ac:dyDescent="0.2">
      <c r="A451">
        <v>448</v>
      </c>
      <c r="B451" s="19">
        <f>Finanzierung!$B$5</f>
        <v>3200.0000000000005</v>
      </c>
      <c r="C451" s="19">
        <f t="shared" si="56"/>
        <v>-118664.70151364562</v>
      </c>
      <c r="D451" s="19">
        <f>C451*Finanzierung!$B$3/100/12</f>
        <v>-316.43920403638839</v>
      </c>
      <c r="E451" s="19">
        <f t="shared" si="55"/>
        <v>3516.4392040363887</v>
      </c>
      <c r="J451">
        <v>448</v>
      </c>
      <c r="K451" s="19">
        <f t="shared" si="52"/>
        <v>2240</v>
      </c>
      <c r="L451" s="19">
        <f t="shared" si="53"/>
        <v>708111.60691095551</v>
      </c>
      <c r="M451" s="19">
        <f>L451*Finanzierung!$B$3/100/12</f>
        <v>1888.2976184292149</v>
      </c>
      <c r="N451" s="19">
        <f t="shared" si="54"/>
        <v>351.70238157078506</v>
      </c>
      <c r="O451">
        <f>O450*(1+Finanzierung!$B$6/100/12)+$H$3</f>
        <v>1601481.4768293051</v>
      </c>
      <c r="S451" s="22">
        <f t="shared" si="49"/>
        <v>37.333333333333336</v>
      </c>
      <c r="T451" s="19">
        <f t="shared" si="50"/>
        <v>118664.70151364562</v>
      </c>
      <c r="U451" s="19">
        <f t="shared" si="51"/>
        <v>893369.86991834955</v>
      </c>
    </row>
    <row r="452" spans="1:21" x14ac:dyDescent="0.2">
      <c r="A452">
        <v>449</v>
      </c>
      <c r="B452" s="19">
        <f>Finanzierung!$B$5</f>
        <v>3200.0000000000005</v>
      </c>
      <c r="C452" s="19">
        <f t="shared" si="56"/>
        <v>-122181.14071768201</v>
      </c>
      <c r="D452" s="19">
        <f>C452*Finanzierung!$B$3/100/12</f>
        <v>-325.81637524715205</v>
      </c>
      <c r="E452" s="19">
        <f t="shared" si="55"/>
        <v>3525.8163752471523</v>
      </c>
      <c r="J452">
        <v>449</v>
      </c>
      <c r="K452" s="19">
        <f t="shared" si="52"/>
        <v>2240</v>
      </c>
      <c r="L452" s="19">
        <f t="shared" si="53"/>
        <v>707759.90452938469</v>
      </c>
      <c r="M452" s="19">
        <f>L452*Finanzierung!$B$3/100/12</f>
        <v>1887.3597454116925</v>
      </c>
      <c r="N452" s="19">
        <f t="shared" si="54"/>
        <v>352.64025458830747</v>
      </c>
      <c r="O452">
        <f>O451*(1+Finanzierung!$B$6/100/12)+$H$3</f>
        <v>1610448.8842134515</v>
      </c>
      <c r="S452" s="22">
        <f t="shared" ref="S452:S483" si="57">J452/12</f>
        <v>37.416666666666664</v>
      </c>
      <c r="T452" s="19">
        <f t="shared" ref="T452:T483" si="58">-C452</f>
        <v>122181.14071768201</v>
      </c>
      <c r="U452" s="19">
        <f t="shared" ref="U452:U483" si="59">O452-L452</f>
        <v>902688.97968406684</v>
      </c>
    </row>
    <row r="453" spans="1:21" x14ac:dyDescent="0.2">
      <c r="A453">
        <v>450</v>
      </c>
      <c r="B453" s="19">
        <f>Finanzierung!$B$5</f>
        <v>3200.0000000000005</v>
      </c>
      <c r="C453" s="19">
        <f t="shared" si="56"/>
        <v>-125706.95709292917</v>
      </c>
      <c r="D453" s="19">
        <f>C453*Finanzierung!$B$3/100/12</f>
        <v>-335.21855224781115</v>
      </c>
      <c r="E453" s="19">
        <f t="shared" si="55"/>
        <v>3535.2185522478117</v>
      </c>
      <c r="J453">
        <v>450</v>
      </c>
      <c r="K453" s="19">
        <f t="shared" ref="K453:K483" si="60">$H$1</f>
        <v>2240</v>
      </c>
      <c r="L453" s="19">
        <f t="shared" ref="L453:L483" si="61">L452-N452</f>
        <v>707407.26427479635</v>
      </c>
      <c r="M453" s="19">
        <f>L453*Finanzierung!$B$3/100/12</f>
        <v>1886.4193713994571</v>
      </c>
      <c r="N453" s="19">
        <f t="shared" ref="N453:N483" si="62">K453-M453</f>
        <v>353.58062860054292</v>
      </c>
      <c r="O453">
        <f>O452*(1+Finanzierung!$B$6/100/12)+$H$3</f>
        <v>1619461.1286345187</v>
      </c>
      <c r="S453" s="22">
        <f t="shared" si="57"/>
        <v>37.5</v>
      </c>
      <c r="T453" s="19">
        <f t="shared" si="58"/>
        <v>125706.95709292917</v>
      </c>
      <c r="U453" s="19">
        <f t="shared" si="59"/>
        <v>912053.86435972236</v>
      </c>
    </row>
    <row r="454" spans="1:21" x14ac:dyDescent="0.2">
      <c r="A454">
        <v>451</v>
      </c>
      <c r="B454" s="19">
        <f>Finanzierung!$B$5</f>
        <v>3200.0000000000005</v>
      </c>
      <c r="C454" s="19">
        <f t="shared" si="56"/>
        <v>-129242.17564517698</v>
      </c>
      <c r="D454" s="19">
        <f>C454*Finanzierung!$B$3/100/12</f>
        <v>-344.64580172047198</v>
      </c>
      <c r="E454" s="19">
        <f t="shared" ref="E454:E483" si="63">B454-D454</f>
        <v>3544.6458017204723</v>
      </c>
      <c r="J454">
        <v>451</v>
      </c>
      <c r="K454" s="19">
        <f t="shared" si="60"/>
        <v>2240</v>
      </c>
      <c r="L454" s="19">
        <f t="shared" si="61"/>
        <v>707053.6836461958</v>
      </c>
      <c r="M454" s="19">
        <f>L454*Finanzierung!$B$3/100/12</f>
        <v>1885.4764897231889</v>
      </c>
      <c r="N454" s="19">
        <f t="shared" si="62"/>
        <v>354.52351027681107</v>
      </c>
      <c r="O454">
        <f>O453*(1+Finanzierung!$B$6/100/12)+$H$3</f>
        <v>1628518.4342776912</v>
      </c>
      <c r="S454" s="22">
        <f t="shared" si="57"/>
        <v>37.583333333333336</v>
      </c>
      <c r="T454" s="19">
        <f t="shared" si="58"/>
        <v>129242.17564517698</v>
      </c>
      <c r="U454" s="19">
        <f t="shared" si="59"/>
        <v>921464.75063149538</v>
      </c>
    </row>
    <row r="455" spans="1:21" x14ac:dyDescent="0.2">
      <c r="A455">
        <v>452</v>
      </c>
      <c r="B455" s="19">
        <f>Finanzierung!$B$5</f>
        <v>3200.0000000000005</v>
      </c>
      <c r="C455" s="19">
        <f t="shared" si="56"/>
        <v>-132786.82144689746</v>
      </c>
      <c r="D455" s="19">
        <f>C455*Finanzierung!$B$3/100/12</f>
        <v>-354.09819052505992</v>
      </c>
      <c r="E455" s="19">
        <f t="shared" si="63"/>
        <v>3554.0981905250605</v>
      </c>
      <c r="J455">
        <v>452</v>
      </c>
      <c r="K455" s="19">
        <f t="shared" si="60"/>
        <v>2240</v>
      </c>
      <c r="L455" s="19">
        <f t="shared" si="61"/>
        <v>706699.160135919</v>
      </c>
      <c r="M455" s="19">
        <f>L455*Finanzierung!$B$3/100/12</f>
        <v>1884.5310936957842</v>
      </c>
      <c r="N455" s="19">
        <f t="shared" si="62"/>
        <v>355.46890630421581</v>
      </c>
      <c r="O455">
        <f>O454*(1+Finanzierung!$B$6/100/12)+$H$3</f>
        <v>1637621.0264490794</v>
      </c>
      <c r="S455" s="22">
        <f t="shared" si="57"/>
        <v>37.666666666666664</v>
      </c>
      <c r="T455" s="19">
        <f t="shared" si="58"/>
        <v>132786.82144689746</v>
      </c>
      <c r="U455" s="19">
        <f t="shared" si="59"/>
        <v>930921.8663131604</v>
      </c>
    </row>
    <row r="456" spans="1:21" x14ac:dyDescent="0.2">
      <c r="A456">
        <v>453</v>
      </c>
      <c r="B456" s="19">
        <f>Finanzierung!$B$5</f>
        <v>3200.0000000000005</v>
      </c>
      <c r="C456" s="19">
        <f t="shared" si="56"/>
        <v>-136340.91963742251</v>
      </c>
      <c r="D456" s="19">
        <f>C456*Finanzierung!$B$3/100/12</f>
        <v>-363.57578569979341</v>
      </c>
      <c r="E456" s="19">
        <f t="shared" si="63"/>
        <v>3563.5757856997939</v>
      </c>
      <c r="J456">
        <v>453</v>
      </c>
      <c r="K456" s="19">
        <f t="shared" si="60"/>
        <v>2240</v>
      </c>
      <c r="L456" s="19">
        <f t="shared" si="61"/>
        <v>706343.69122961478</v>
      </c>
      <c r="M456" s="19">
        <f>L456*Finanzierung!$B$3/100/12</f>
        <v>1883.5831766123063</v>
      </c>
      <c r="N456" s="19">
        <f t="shared" si="62"/>
        <v>356.41682338769374</v>
      </c>
      <c r="O456">
        <f>O455*(1+Finanzierung!$B$6/100/12)+$H$3</f>
        <v>1646769.1315813246</v>
      </c>
      <c r="S456" s="22">
        <f t="shared" si="57"/>
        <v>37.75</v>
      </c>
      <c r="T456" s="19">
        <f t="shared" si="58"/>
        <v>136340.91963742251</v>
      </c>
      <c r="U456" s="19">
        <f t="shared" si="59"/>
        <v>940425.44035170984</v>
      </c>
    </row>
    <row r="457" spans="1:21" x14ac:dyDescent="0.2">
      <c r="A457">
        <v>454</v>
      </c>
      <c r="B457" s="19">
        <f>Finanzierung!$B$5</f>
        <v>3200.0000000000005</v>
      </c>
      <c r="C457" s="19">
        <f t="shared" si="56"/>
        <v>-139904.49542312231</v>
      </c>
      <c r="D457" s="19">
        <f>C457*Finanzierung!$B$3/100/12</f>
        <v>-373.07865446165948</v>
      </c>
      <c r="E457" s="19">
        <f t="shared" si="63"/>
        <v>3573.0786544616599</v>
      </c>
      <c r="J457">
        <v>454</v>
      </c>
      <c r="K457" s="19">
        <f t="shared" si="60"/>
        <v>2240</v>
      </c>
      <c r="L457" s="19">
        <f t="shared" si="61"/>
        <v>705987.27440622705</v>
      </c>
      <c r="M457" s="19">
        <f>L457*Finanzierung!$B$3/100/12</f>
        <v>1882.632731749939</v>
      </c>
      <c r="N457" s="19">
        <f t="shared" si="62"/>
        <v>357.36726825006099</v>
      </c>
      <c r="O457">
        <f>O456*(1+Finanzierung!$B$6/100/12)+$H$3</f>
        <v>1655962.9772392311</v>
      </c>
      <c r="S457" s="22">
        <f t="shared" si="57"/>
        <v>37.833333333333336</v>
      </c>
      <c r="T457" s="19">
        <f t="shared" si="58"/>
        <v>139904.49542312231</v>
      </c>
      <c r="U457" s="19">
        <f t="shared" si="59"/>
        <v>949975.70283300406</v>
      </c>
    </row>
    <row r="458" spans="1:21" x14ac:dyDescent="0.2">
      <c r="A458">
        <v>455</v>
      </c>
      <c r="B458" s="19">
        <f>Finanzierung!$B$5</f>
        <v>3200.0000000000005</v>
      </c>
      <c r="C458" s="19">
        <f t="shared" si="56"/>
        <v>-143477.57407758397</v>
      </c>
      <c r="D458" s="19">
        <f>C458*Finanzierung!$B$3/100/12</f>
        <v>-382.60686420689058</v>
      </c>
      <c r="E458" s="19">
        <f t="shared" si="63"/>
        <v>3582.6068642068913</v>
      </c>
      <c r="J458">
        <v>455</v>
      </c>
      <c r="K458" s="19">
        <f t="shared" si="60"/>
        <v>2240</v>
      </c>
      <c r="L458" s="19">
        <f t="shared" si="61"/>
        <v>705629.90713797696</v>
      </c>
      <c r="M458" s="19">
        <f>L458*Finanzierung!$B$3/100/12</f>
        <v>1881.6797523679386</v>
      </c>
      <c r="N458" s="19">
        <f t="shared" si="62"/>
        <v>358.32024763206141</v>
      </c>
      <c r="O458">
        <f>O457*(1+Finanzierung!$B$6/100/12)+$H$3</f>
        <v>1665202.7921254272</v>
      </c>
      <c r="S458" s="22">
        <f t="shared" si="57"/>
        <v>37.916666666666664</v>
      </c>
      <c r="T458" s="19">
        <f t="shared" si="58"/>
        <v>143477.57407758397</v>
      </c>
      <c r="U458" s="19">
        <f t="shared" si="59"/>
        <v>959572.8849874502</v>
      </c>
    </row>
    <row r="459" spans="1:21" x14ac:dyDescent="0.2">
      <c r="A459">
        <v>456</v>
      </c>
      <c r="B459" s="19">
        <f>Finanzierung!$B$5</f>
        <v>3200.0000000000005</v>
      </c>
      <c r="C459" s="19">
        <f t="shared" si="56"/>
        <v>-147060.18094179087</v>
      </c>
      <c r="D459" s="19">
        <f>C459*Finanzierung!$B$3/100/12</f>
        <v>-392.16048251144235</v>
      </c>
      <c r="E459" s="19">
        <f t="shared" si="63"/>
        <v>3592.1604825114428</v>
      </c>
      <c r="J459">
        <v>456</v>
      </c>
      <c r="K459" s="19">
        <f t="shared" si="60"/>
        <v>2240</v>
      </c>
      <c r="L459" s="19">
        <f t="shared" si="61"/>
        <v>705271.58689034486</v>
      </c>
      <c r="M459" s="19">
        <f>L459*Finanzierung!$B$3/100/12</f>
        <v>1880.7242317075863</v>
      </c>
      <c r="N459" s="19">
        <f t="shared" si="62"/>
        <v>359.27576829241366</v>
      </c>
      <c r="O459">
        <f>O458*(1+Finanzierung!$B$6/100/12)+$H$3</f>
        <v>1674488.8060860541</v>
      </c>
      <c r="S459" s="22">
        <f t="shared" si="57"/>
        <v>38</v>
      </c>
      <c r="T459" s="19">
        <f t="shared" si="58"/>
        <v>147060.18094179087</v>
      </c>
      <c r="U459" s="19">
        <f t="shared" si="59"/>
        <v>969217.21919570921</v>
      </c>
    </row>
    <row r="460" spans="1:21" x14ac:dyDescent="0.2">
      <c r="A460">
        <v>457</v>
      </c>
      <c r="B460" s="19">
        <f>Finanzierung!$B$5</f>
        <v>3200.0000000000005</v>
      </c>
      <c r="C460" s="19">
        <f t="shared" si="56"/>
        <v>-150652.34142430231</v>
      </c>
      <c r="D460" s="19">
        <f>C460*Finanzierung!$B$3/100/12</f>
        <v>-401.73957713147291</v>
      </c>
      <c r="E460" s="19">
        <f t="shared" si="63"/>
        <v>3601.7395771314732</v>
      </c>
      <c r="J460">
        <v>457</v>
      </c>
      <c r="K460" s="19">
        <f t="shared" si="60"/>
        <v>2240</v>
      </c>
      <c r="L460" s="19">
        <f t="shared" si="61"/>
        <v>704912.31112205249</v>
      </c>
      <c r="M460" s="19">
        <f>L460*Finanzierung!$B$3/100/12</f>
        <v>1879.7661629921402</v>
      </c>
      <c r="N460" s="19">
        <f t="shared" si="62"/>
        <v>360.23383700785985</v>
      </c>
      <c r="O460">
        <f>O459*(1+Finanzierung!$B$6/100/12)+$H$3</f>
        <v>1683821.2501164842</v>
      </c>
      <c r="S460" s="22">
        <f t="shared" si="57"/>
        <v>38.083333333333336</v>
      </c>
      <c r="T460" s="19">
        <f t="shared" si="58"/>
        <v>150652.34142430231</v>
      </c>
      <c r="U460" s="19">
        <f t="shared" si="59"/>
        <v>978908.93899443175</v>
      </c>
    </row>
    <row r="461" spans="1:21" x14ac:dyDescent="0.2">
      <c r="A461">
        <v>458</v>
      </c>
      <c r="B461" s="19">
        <f>Finanzierung!$B$5</f>
        <v>3200.0000000000005</v>
      </c>
      <c r="C461" s="19">
        <f t="shared" si="56"/>
        <v>-154254.08100143378</v>
      </c>
      <c r="D461" s="19">
        <f>C461*Finanzierung!$B$3/100/12</f>
        <v>-411.34421600382342</v>
      </c>
      <c r="E461" s="19">
        <f t="shared" si="63"/>
        <v>3611.3442160038239</v>
      </c>
      <c r="J461">
        <v>458</v>
      </c>
      <c r="K461" s="19">
        <f t="shared" si="60"/>
        <v>2240</v>
      </c>
      <c r="L461" s="19">
        <f t="shared" si="61"/>
        <v>704552.07728504459</v>
      </c>
      <c r="M461" s="19">
        <f>L461*Finanzierung!$B$3/100/12</f>
        <v>1878.8055394267858</v>
      </c>
      <c r="N461" s="19">
        <f t="shared" si="62"/>
        <v>361.1944605732142</v>
      </c>
      <c r="O461">
        <f>O460*(1+Finanzierung!$B$6/100/12)+$H$3</f>
        <v>1693200.3563670665</v>
      </c>
      <c r="S461" s="22">
        <f t="shared" si="57"/>
        <v>38.166666666666664</v>
      </c>
      <c r="T461" s="19">
        <f t="shared" si="58"/>
        <v>154254.08100143378</v>
      </c>
      <c r="U461" s="19">
        <f t="shared" si="59"/>
        <v>988648.27908202191</v>
      </c>
    </row>
    <row r="462" spans="1:21" x14ac:dyDescent="0.2">
      <c r="A462">
        <v>459</v>
      </c>
      <c r="B462" s="19">
        <f>Finanzierung!$B$5</f>
        <v>3200.0000000000005</v>
      </c>
      <c r="C462" s="19">
        <f t="shared" si="56"/>
        <v>-157865.42521743759</v>
      </c>
      <c r="D462" s="19">
        <f>C462*Finanzierung!$B$3/100/12</f>
        <v>-420.97446724650018</v>
      </c>
      <c r="E462" s="19">
        <f t="shared" si="63"/>
        <v>3620.9744672465008</v>
      </c>
      <c r="J462">
        <v>459</v>
      </c>
      <c r="K462" s="19">
        <f t="shared" si="60"/>
        <v>2240</v>
      </c>
      <c r="L462" s="19">
        <f t="shared" si="61"/>
        <v>704190.88282447134</v>
      </c>
      <c r="M462" s="19">
        <f>L462*Finanzierung!$B$3/100/12</f>
        <v>1877.8423541985903</v>
      </c>
      <c r="N462" s="19">
        <f t="shared" si="62"/>
        <v>362.15764580140967</v>
      </c>
      <c r="O462">
        <f>O461*(1+Finanzierung!$B$6/100/12)+$H$3</f>
        <v>1702626.3581489017</v>
      </c>
      <c r="S462" s="22">
        <f t="shared" si="57"/>
        <v>38.25</v>
      </c>
      <c r="T462" s="19">
        <f t="shared" si="58"/>
        <v>157865.42521743759</v>
      </c>
      <c r="U462" s="19">
        <f t="shared" si="59"/>
        <v>998435.47532443039</v>
      </c>
    </row>
    <row r="463" spans="1:21" x14ac:dyDescent="0.2">
      <c r="A463">
        <v>460</v>
      </c>
      <c r="B463" s="19">
        <f>Finanzierung!$B$5</f>
        <v>3200.0000000000005</v>
      </c>
      <c r="C463" s="19">
        <f t="shared" si="56"/>
        <v>-161486.39968468409</v>
      </c>
      <c r="D463" s="19">
        <f>C463*Finanzierung!$B$3/100/12</f>
        <v>-430.63039915915761</v>
      </c>
      <c r="E463" s="19">
        <f t="shared" si="63"/>
        <v>3630.6303991591581</v>
      </c>
      <c r="J463">
        <v>460</v>
      </c>
      <c r="K463" s="19">
        <f t="shared" si="60"/>
        <v>2240</v>
      </c>
      <c r="L463" s="19">
        <f t="shared" si="61"/>
        <v>703828.72517866991</v>
      </c>
      <c r="M463" s="19">
        <f>L463*Finanzierung!$B$3/100/12</f>
        <v>1876.8766004764532</v>
      </c>
      <c r="N463" s="19">
        <f t="shared" si="62"/>
        <v>363.12339952354682</v>
      </c>
      <c r="O463">
        <f>O462*(1+Finanzierung!$B$6/100/12)+$H$3</f>
        <v>1712099.4899396461</v>
      </c>
      <c r="S463" s="22">
        <f t="shared" si="57"/>
        <v>38.333333333333336</v>
      </c>
      <c r="T463" s="19">
        <f t="shared" si="58"/>
        <v>161486.39968468409</v>
      </c>
      <c r="U463" s="19">
        <f t="shared" si="59"/>
        <v>1008270.7647609762</v>
      </c>
    </row>
    <row r="464" spans="1:21" x14ac:dyDescent="0.2">
      <c r="A464">
        <v>461</v>
      </c>
      <c r="B464" s="19">
        <f>Finanzierung!$B$5</f>
        <v>3200.0000000000005</v>
      </c>
      <c r="C464" s="19">
        <f t="shared" si="56"/>
        <v>-165117.03008384324</v>
      </c>
      <c r="D464" s="19">
        <f>C464*Finanzierung!$B$3/100/12</f>
        <v>-440.31208022358197</v>
      </c>
      <c r="E464" s="19">
        <f t="shared" si="63"/>
        <v>3640.3120802235826</v>
      </c>
      <c r="J464">
        <v>461</v>
      </c>
      <c r="K464" s="19">
        <f t="shared" si="60"/>
        <v>2240</v>
      </c>
      <c r="L464" s="19">
        <f t="shared" si="61"/>
        <v>703465.60177914635</v>
      </c>
      <c r="M464" s="19">
        <f>L464*Finanzierung!$B$3/100/12</f>
        <v>1875.9082714110571</v>
      </c>
      <c r="N464" s="19">
        <f t="shared" si="62"/>
        <v>364.09172858894294</v>
      </c>
      <c r="O464">
        <f>O463*(1+Finanzierung!$B$6/100/12)+$H$3</f>
        <v>1721619.9873893443</v>
      </c>
      <c r="S464" s="22">
        <f t="shared" si="57"/>
        <v>38.416666666666664</v>
      </c>
      <c r="T464" s="19">
        <f t="shared" si="58"/>
        <v>165117.03008384324</v>
      </c>
      <c r="U464" s="19">
        <f t="shared" si="59"/>
        <v>1018154.3856101979</v>
      </c>
    </row>
    <row r="465" spans="1:21" x14ac:dyDescent="0.2">
      <c r="A465">
        <v>462</v>
      </c>
      <c r="B465" s="19">
        <f>Finanzierung!$B$5</f>
        <v>3200.0000000000005</v>
      </c>
      <c r="C465" s="19">
        <f t="shared" si="56"/>
        <v>-168757.34216406682</v>
      </c>
      <c r="D465" s="19">
        <f>C465*Finanzierung!$B$3/100/12</f>
        <v>-450.01957910417826</v>
      </c>
      <c r="E465" s="19">
        <f t="shared" si="63"/>
        <v>3650.0195791041788</v>
      </c>
      <c r="J465">
        <v>462</v>
      </c>
      <c r="K465" s="19">
        <f t="shared" si="60"/>
        <v>2240</v>
      </c>
      <c r="L465" s="19">
        <f t="shared" si="61"/>
        <v>703101.51005055744</v>
      </c>
      <c r="M465" s="19">
        <f>L465*Finanzierung!$B$3/100/12</f>
        <v>1874.9373601348198</v>
      </c>
      <c r="N465" s="19">
        <f t="shared" si="62"/>
        <v>365.06263986518024</v>
      </c>
      <c r="O465">
        <f>O464*(1+Finanzierung!$B$6/100/12)+$H$3</f>
        <v>1731188.0873262908</v>
      </c>
      <c r="S465" s="22">
        <f t="shared" si="57"/>
        <v>38.5</v>
      </c>
      <c r="T465" s="19">
        <f t="shared" si="58"/>
        <v>168757.34216406682</v>
      </c>
      <c r="U465" s="19">
        <f t="shared" si="59"/>
        <v>1028086.5772757333</v>
      </c>
    </row>
    <row r="466" spans="1:21" x14ac:dyDescent="0.2">
      <c r="A466">
        <v>463</v>
      </c>
      <c r="B466" s="19">
        <f>Finanzierung!$B$5</f>
        <v>3200.0000000000005</v>
      </c>
      <c r="C466" s="19">
        <f t="shared" si="56"/>
        <v>-172407.361743171</v>
      </c>
      <c r="D466" s="19">
        <f>C466*Finanzierung!$B$3/100/12</f>
        <v>-459.75296464845604</v>
      </c>
      <c r="E466" s="19">
        <f t="shared" si="63"/>
        <v>3659.7529646484563</v>
      </c>
      <c r="J466">
        <v>463</v>
      </c>
      <c r="K466" s="19">
        <f t="shared" si="60"/>
        <v>2240</v>
      </c>
      <c r="L466" s="19">
        <f t="shared" si="61"/>
        <v>702736.44741069223</v>
      </c>
      <c r="M466" s="19">
        <f>L466*Finanzierung!$B$3/100/12</f>
        <v>1873.9638597618459</v>
      </c>
      <c r="N466" s="19">
        <f t="shared" si="62"/>
        <v>366.03614023815408</v>
      </c>
      <c r="O466">
        <f>O465*(1+Finanzierung!$B$6/100/12)+$H$3</f>
        <v>1740804.027762922</v>
      </c>
      <c r="S466" s="22">
        <f t="shared" si="57"/>
        <v>38.583333333333336</v>
      </c>
      <c r="T466" s="19">
        <f t="shared" si="58"/>
        <v>172407.361743171</v>
      </c>
      <c r="U466" s="19">
        <f t="shared" si="59"/>
        <v>1038067.5803522298</v>
      </c>
    </row>
    <row r="467" spans="1:21" x14ac:dyDescent="0.2">
      <c r="A467">
        <v>464</v>
      </c>
      <c r="B467" s="19">
        <f>Finanzierung!$B$5</f>
        <v>3200.0000000000005</v>
      </c>
      <c r="C467" s="19">
        <f t="shared" si="56"/>
        <v>-176067.11470781945</v>
      </c>
      <c r="D467" s="19">
        <f>C467*Finanzierung!$B$3/100/12</f>
        <v>-469.51230588751855</v>
      </c>
      <c r="E467" s="19">
        <f t="shared" si="63"/>
        <v>3669.5123058875188</v>
      </c>
      <c r="J467">
        <v>464</v>
      </c>
      <c r="K467" s="19">
        <f t="shared" si="60"/>
        <v>2240</v>
      </c>
      <c r="L467" s="19">
        <f t="shared" si="61"/>
        <v>702370.41127045406</v>
      </c>
      <c r="M467" s="19">
        <f>L467*Finanzierung!$B$3/100/12</f>
        <v>1872.9877633878775</v>
      </c>
      <c r="N467" s="19">
        <f t="shared" si="62"/>
        <v>367.01223661212248</v>
      </c>
      <c r="O467">
        <f>O466*(1+Finanzierung!$B$6/100/12)+$H$3</f>
        <v>1750468.0479017363</v>
      </c>
      <c r="S467" s="22">
        <f t="shared" si="57"/>
        <v>38.666666666666664</v>
      </c>
      <c r="T467" s="19">
        <f t="shared" si="58"/>
        <v>176067.11470781945</v>
      </c>
      <c r="U467" s="19">
        <f t="shared" si="59"/>
        <v>1048097.6366312823</v>
      </c>
    </row>
    <row r="468" spans="1:21" x14ac:dyDescent="0.2">
      <c r="A468">
        <v>465</v>
      </c>
      <c r="B468" s="19">
        <f>Finanzierung!$B$5</f>
        <v>3200.0000000000005</v>
      </c>
      <c r="C468" s="19">
        <f t="shared" si="56"/>
        <v>-179736.62701370698</v>
      </c>
      <c r="D468" s="19">
        <f>C468*Finanzierung!$B$3/100/12</f>
        <v>-479.297672036552</v>
      </c>
      <c r="E468" s="19">
        <f t="shared" si="63"/>
        <v>3679.2976720365523</v>
      </c>
      <c r="J468">
        <v>465</v>
      </c>
      <c r="K468" s="19">
        <f t="shared" si="60"/>
        <v>2240</v>
      </c>
      <c r="L468" s="19">
        <f t="shared" si="61"/>
        <v>702003.39903384191</v>
      </c>
      <c r="M468" s="19">
        <f>L468*Finanzierung!$B$3/100/12</f>
        <v>1872.0090640902454</v>
      </c>
      <c r="N468" s="19">
        <f t="shared" si="62"/>
        <v>367.99093590975463</v>
      </c>
      <c r="O468">
        <f>O467*(1+Finanzierung!$B$6/100/12)+$H$3</f>
        <v>1760180.3881412449</v>
      </c>
      <c r="S468" s="22">
        <f t="shared" si="57"/>
        <v>38.75</v>
      </c>
      <c r="T468" s="19">
        <f t="shared" si="58"/>
        <v>179736.62701370698</v>
      </c>
      <c r="U468" s="19">
        <f t="shared" si="59"/>
        <v>1058176.989107403</v>
      </c>
    </row>
    <row r="469" spans="1:21" x14ac:dyDescent="0.2">
      <c r="A469">
        <v>466</v>
      </c>
      <c r="B469" s="19">
        <f>Finanzierung!$B$5</f>
        <v>3200.0000000000005</v>
      </c>
      <c r="C469" s="19">
        <f t="shared" si="56"/>
        <v>-183415.92468574352</v>
      </c>
      <c r="D469" s="19">
        <f>C469*Finanzierung!$B$3/100/12</f>
        <v>-489.10913249531609</v>
      </c>
      <c r="E469" s="19">
        <f t="shared" si="63"/>
        <v>3689.1091324953168</v>
      </c>
      <c r="J469">
        <v>466</v>
      </c>
      <c r="K469" s="19">
        <f t="shared" si="60"/>
        <v>2240</v>
      </c>
      <c r="L469" s="19">
        <f t="shared" si="61"/>
        <v>701635.40809793212</v>
      </c>
      <c r="M469" s="19">
        <f>L469*Finanzierung!$B$3/100/12</f>
        <v>1871.0277549278189</v>
      </c>
      <c r="N469" s="19">
        <f t="shared" si="62"/>
        <v>368.97224507218107</v>
      </c>
      <c r="O469">
        <f>O468*(1+Finanzierung!$B$6/100/12)+$H$3</f>
        <v>1769941.2900819508</v>
      </c>
      <c r="S469" s="22">
        <f t="shared" si="57"/>
        <v>38.833333333333336</v>
      </c>
      <c r="T469" s="19">
        <f t="shared" si="58"/>
        <v>183415.92468574352</v>
      </c>
      <c r="U469" s="19">
        <f t="shared" si="59"/>
        <v>1068305.8819840187</v>
      </c>
    </row>
    <row r="470" spans="1:21" x14ac:dyDescent="0.2">
      <c r="A470">
        <v>467</v>
      </c>
      <c r="B470" s="19">
        <f>Finanzierung!$B$5</f>
        <v>3200.0000000000005</v>
      </c>
      <c r="C470" s="19">
        <f t="shared" si="56"/>
        <v>-187105.03381823885</v>
      </c>
      <c r="D470" s="19">
        <f>C470*Finanzierung!$B$3/100/12</f>
        <v>-498.94675684863688</v>
      </c>
      <c r="E470" s="19">
        <f t="shared" si="63"/>
        <v>3698.9467568486375</v>
      </c>
      <c r="J470">
        <v>467</v>
      </c>
      <c r="K470" s="19">
        <f t="shared" si="60"/>
        <v>2240</v>
      </c>
      <c r="L470" s="19">
        <f t="shared" si="61"/>
        <v>701266.43585285998</v>
      </c>
      <c r="M470" s="19">
        <f>L470*Finanzierung!$B$3/100/12</f>
        <v>1870.0438289409601</v>
      </c>
      <c r="N470" s="19">
        <f t="shared" si="62"/>
        <v>369.95617105903989</v>
      </c>
      <c r="O470">
        <f>O469*(1+Finanzierung!$B$6/100/12)+$H$3</f>
        <v>1779750.9965323603</v>
      </c>
      <c r="S470" s="22">
        <f t="shared" si="57"/>
        <v>38.916666666666664</v>
      </c>
      <c r="T470" s="19">
        <f t="shared" si="58"/>
        <v>187105.03381823885</v>
      </c>
      <c r="U470" s="19">
        <f t="shared" si="59"/>
        <v>1078484.5606795005</v>
      </c>
    </row>
    <row r="471" spans="1:21" x14ac:dyDescent="0.2">
      <c r="A471">
        <v>468</v>
      </c>
      <c r="B471" s="19">
        <f>Finanzierung!$B$5</f>
        <v>3200.0000000000005</v>
      </c>
      <c r="C471" s="19">
        <f t="shared" si="56"/>
        <v>-190803.98057508748</v>
      </c>
      <c r="D471" s="19">
        <f>C471*Finanzierung!$B$3/100/12</f>
        <v>-508.81061486689993</v>
      </c>
      <c r="E471" s="19">
        <f t="shared" si="63"/>
        <v>3708.8106148669003</v>
      </c>
      <c r="J471">
        <v>468</v>
      </c>
      <c r="K471" s="19">
        <f t="shared" si="60"/>
        <v>2240</v>
      </c>
      <c r="L471" s="19">
        <f t="shared" si="61"/>
        <v>700896.47968180093</v>
      </c>
      <c r="M471" s="19">
        <f>L471*Finanzierung!$B$3/100/12</f>
        <v>1869.0572791514694</v>
      </c>
      <c r="N471" s="19">
        <f t="shared" si="62"/>
        <v>370.9427208485306</v>
      </c>
      <c r="O471">
        <f>O470*(1+Finanzierung!$B$6/100/12)+$H$3</f>
        <v>1789609.751515022</v>
      </c>
      <c r="S471" s="22">
        <f t="shared" si="57"/>
        <v>39</v>
      </c>
      <c r="T471" s="19">
        <f t="shared" si="58"/>
        <v>190803.98057508748</v>
      </c>
      <c r="U471" s="19">
        <f t="shared" si="59"/>
        <v>1088713.271833221</v>
      </c>
    </row>
    <row r="472" spans="1:21" x14ac:dyDescent="0.2">
      <c r="A472">
        <v>469</v>
      </c>
      <c r="B472" s="19">
        <f>Finanzierung!$B$5</f>
        <v>3200.0000000000005</v>
      </c>
      <c r="C472" s="19">
        <f t="shared" si="56"/>
        <v>-194512.79118995438</v>
      </c>
      <c r="D472" s="19">
        <f>C472*Finanzierung!$B$3/100/12</f>
        <v>-518.70077650654514</v>
      </c>
      <c r="E472" s="19">
        <f t="shared" si="63"/>
        <v>3718.7007765065455</v>
      </c>
      <c r="J472">
        <v>469</v>
      </c>
      <c r="K472" s="19">
        <f t="shared" si="60"/>
        <v>2240</v>
      </c>
      <c r="L472" s="19">
        <f t="shared" si="61"/>
        <v>700525.53696095245</v>
      </c>
      <c r="M472" s="19">
        <f>L472*Finanzierung!$B$3/100/12</f>
        <v>1868.0680985625397</v>
      </c>
      <c r="N472" s="19">
        <f t="shared" si="62"/>
        <v>371.93190143746028</v>
      </c>
      <c r="O472">
        <f>O471*(1+Finanzierung!$B$6/100/12)+$H$3</f>
        <v>1799517.800272597</v>
      </c>
      <c r="S472" s="22">
        <f t="shared" si="57"/>
        <v>39.083333333333336</v>
      </c>
      <c r="T472" s="19">
        <f t="shared" si="58"/>
        <v>194512.79118995438</v>
      </c>
      <c r="U472" s="19">
        <f t="shared" si="59"/>
        <v>1098992.2633116446</v>
      </c>
    </row>
    <row r="473" spans="1:21" x14ac:dyDescent="0.2">
      <c r="A473">
        <v>470</v>
      </c>
      <c r="B473" s="19">
        <f>Finanzierung!$B$5</f>
        <v>3200.0000000000005</v>
      </c>
      <c r="C473" s="19">
        <f t="shared" si="56"/>
        <v>-198231.49196646092</v>
      </c>
      <c r="D473" s="19">
        <f>C473*Finanzierung!$B$3/100/12</f>
        <v>-528.61731191056253</v>
      </c>
      <c r="E473" s="19">
        <f t="shared" si="63"/>
        <v>3728.6173119105629</v>
      </c>
      <c r="J473">
        <v>470</v>
      </c>
      <c r="K473" s="19">
        <f t="shared" si="60"/>
        <v>2240</v>
      </c>
      <c r="L473" s="19">
        <f t="shared" si="61"/>
        <v>700153.60505951499</v>
      </c>
      <c r="M473" s="19">
        <f>L473*Finanzierung!$B$3/100/12</f>
        <v>1867.0762801587064</v>
      </c>
      <c r="N473" s="19">
        <f t="shared" si="62"/>
        <v>372.92371984129363</v>
      </c>
      <c r="O473">
        <f>O472*(1+Finanzierung!$B$6/100/12)+$H$3</f>
        <v>1809475.3892739597</v>
      </c>
      <c r="S473" s="22">
        <f t="shared" si="57"/>
        <v>39.166666666666664</v>
      </c>
      <c r="T473" s="19">
        <f t="shared" si="58"/>
        <v>198231.49196646092</v>
      </c>
      <c r="U473" s="19">
        <f t="shared" si="59"/>
        <v>1109321.7842144447</v>
      </c>
    </row>
    <row r="474" spans="1:21" x14ac:dyDescent="0.2">
      <c r="A474">
        <v>471</v>
      </c>
      <c r="B474" s="19">
        <f>Finanzierung!$B$5</f>
        <v>3200.0000000000005</v>
      </c>
      <c r="C474" s="19">
        <f t="shared" si="56"/>
        <v>-201960.10927837147</v>
      </c>
      <c r="D474" s="19">
        <f>C474*Finanzierung!$B$3/100/12</f>
        <v>-538.56029140899068</v>
      </c>
      <c r="E474" s="19">
        <f t="shared" si="63"/>
        <v>3738.5602914089914</v>
      </c>
      <c r="J474">
        <v>471</v>
      </c>
      <c r="K474" s="19">
        <f t="shared" si="60"/>
        <v>2240</v>
      </c>
      <c r="L474" s="19">
        <f t="shared" si="61"/>
        <v>699780.6813396737</v>
      </c>
      <c r="M474" s="19">
        <f>L474*Finanzierung!$B$3/100/12</f>
        <v>1866.0818169057966</v>
      </c>
      <c r="N474" s="19">
        <f t="shared" si="62"/>
        <v>373.91818309420341</v>
      </c>
      <c r="O474">
        <f>O473*(1+Finanzierung!$B$6/100/12)+$H$3</f>
        <v>1819482.7662203293</v>
      </c>
      <c r="S474" s="22">
        <f t="shared" si="57"/>
        <v>39.25</v>
      </c>
      <c r="T474" s="19">
        <f t="shared" si="58"/>
        <v>201960.10927837147</v>
      </c>
      <c r="U474" s="19">
        <f t="shared" si="59"/>
        <v>1119702.0848806556</v>
      </c>
    </row>
    <row r="475" spans="1:21" x14ac:dyDescent="0.2">
      <c r="A475">
        <v>472</v>
      </c>
      <c r="B475" s="19">
        <f>Finanzierung!$B$5</f>
        <v>3200.0000000000005</v>
      </c>
      <c r="C475" s="19">
        <f t="shared" si="56"/>
        <v>-205698.66956978047</v>
      </c>
      <c r="D475" s="19">
        <f>C475*Finanzierung!$B$3/100/12</f>
        <v>-548.52978551941453</v>
      </c>
      <c r="E475" s="19">
        <f t="shared" si="63"/>
        <v>3748.5297855194149</v>
      </c>
      <c r="J475">
        <v>472</v>
      </c>
      <c r="K475" s="19">
        <f t="shared" si="60"/>
        <v>2240</v>
      </c>
      <c r="L475" s="19">
        <f t="shared" si="61"/>
        <v>699406.76315657946</v>
      </c>
      <c r="M475" s="19">
        <f>L475*Finanzierung!$B$3/100/12</f>
        <v>1865.0847017508788</v>
      </c>
      <c r="N475" s="19">
        <f t="shared" si="62"/>
        <v>374.91529824912118</v>
      </c>
      <c r="O475">
        <f>O474*(1+Finanzierung!$B$6/100/12)+$H$3</f>
        <v>1829540.1800514308</v>
      </c>
      <c r="S475" s="22">
        <f t="shared" si="57"/>
        <v>39.333333333333336</v>
      </c>
      <c r="T475" s="19">
        <f t="shared" si="58"/>
        <v>205698.66956978047</v>
      </c>
      <c r="U475" s="19">
        <f t="shared" si="59"/>
        <v>1130133.4168948513</v>
      </c>
    </row>
    <row r="476" spans="1:21" x14ac:dyDescent="0.2">
      <c r="A476">
        <v>473</v>
      </c>
      <c r="B476" s="19">
        <f>Finanzierung!$B$5</f>
        <v>3200.0000000000005</v>
      </c>
      <c r="C476" s="19">
        <f t="shared" si="56"/>
        <v>-209447.19935529988</v>
      </c>
      <c r="D476" s="19">
        <f>C476*Finanzierung!$B$3/100/12</f>
        <v>-558.5258649474664</v>
      </c>
      <c r="E476" s="19">
        <f t="shared" si="63"/>
        <v>3758.5258649474667</v>
      </c>
      <c r="J476">
        <v>473</v>
      </c>
      <c r="K476" s="19">
        <f t="shared" si="60"/>
        <v>2240</v>
      </c>
      <c r="L476" s="19">
        <f t="shared" si="61"/>
        <v>699031.84785833035</v>
      </c>
      <c r="M476" s="19">
        <f>L476*Finanzierung!$B$3/100/12</f>
        <v>1864.0849276222145</v>
      </c>
      <c r="N476" s="19">
        <f t="shared" si="62"/>
        <v>375.91507237778546</v>
      </c>
      <c r="O476">
        <f>O475*(1+Finanzierung!$B$6/100/12)+$H$3</f>
        <v>1839647.8809516877</v>
      </c>
      <c r="S476" s="22">
        <f t="shared" si="57"/>
        <v>39.416666666666664</v>
      </c>
      <c r="T476" s="19">
        <f t="shared" si="58"/>
        <v>209447.19935529988</v>
      </c>
      <c r="U476" s="19">
        <f t="shared" si="59"/>
        <v>1140616.0330933575</v>
      </c>
    </row>
    <row r="477" spans="1:21" x14ac:dyDescent="0.2">
      <c r="A477">
        <v>474</v>
      </c>
      <c r="B477" s="19">
        <f>Finanzierung!$B$5</f>
        <v>3200.0000000000005</v>
      </c>
      <c r="C477" s="19">
        <f t="shared" si="56"/>
        <v>-213205.72522024735</v>
      </c>
      <c r="D477" s="19">
        <f>C477*Finanzierung!$B$3/100/12</f>
        <v>-568.54860058732629</v>
      </c>
      <c r="E477" s="19">
        <f t="shared" si="63"/>
        <v>3768.5486005873267</v>
      </c>
      <c r="J477">
        <v>474</v>
      </c>
      <c r="K477" s="19">
        <f t="shared" si="60"/>
        <v>2240</v>
      </c>
      <c r="L477" s="19">
        <f t="shared" si="61"/>
        <v>698655.93278595258</v>
      </c>
      <c r="M477" s="19">
        <f>L477*Finanzierung!$B$3/100/12</f>
        <v>1863.0824874292068</v>
      </c>
      <c r="N477" s="19">
        <f t="shared" si="62"/>
        <v>376.91751257079318</v>
      </c>
      <c r="O477">
        <f>O476*(1+Finanzierung!$B$6/100/12)+$H$3</f>
        <v>1849806.1203564459</v>
      </c>
      <c r="S477" s="22">
        <f t="shared" si="57"/>
        <v>39.5</v>
      </c>
      <c r="T477" s="19">
        <f t="shared" si="58"/>
        <v>213205.72522024735</v>
      </c>
      <c r="U477" s="19">
        <f t="shared" si="59"/>
        <v>1151150.1875704932</v>
      </c>
    </row>
    <row r="478" spans="1:21" x14ac:dyDescent="0.2">
      <c r="A478">
        <v>475</v>
      </c>
      <c r="B478" s="19">
        <f>Finanzierung!$B$5</f>
        <v>3200.0000000000005</v>
      </c>
      <c r="C478" s="19">
        <f t="shared" si="56"/>
        <v>-216974.27382083467</v>
      </c>
      <c r="D478" s="19">
        <f>C478*Finanzierung!$B$3/100/12</f>
        <v>-578.59806352222574</v>
      </c>
      <c r="E478" s="19">
        <f t="shared" si="63"/>
        <v>3778.5980635222263</v>
      </c>
      <c r="J478">
        <v>475</v>
      </c>
      <c r="K478" s="19">
        <f t="shared" si="60"/>
        <v>2240</v>
      </c>
      <c r="L478" s="19">
        <f t="shared" si="61"/>
        <v>698279.01527338184</v>
      </c>
      <c r="M478" s="19">
        <f>L478*Finanzierung!$B$3/100/12</f>
        <v>1862.0773740623515</v>
      </c>
      <c r="N478" s="19">
        <f t="shared" si="62"/>
        <v>377.92262593764849</v>
      </c>
      <c r="O478">
        <f>O477*(1+Finanzierung!$B$6/100/12)+$H$3</f>
        <v>1860015.1509582279</v>
      </c>
      <c r="S478" s="22">
        <f t="shared" si="57"/>
        <v>39.583333333333336</v>
      </c>
      <c r="T478" s="19">
        <f t="shared" si="58"/>
        <v>216974.27382083467</v>
      </c>
      <c r="U478" s="19">
        <f t="shared" si="59"/>
        <v>1161736.135684846</v>
      </c>
    </row>
    <row r="479" spans="1:21" x14ac:dyDescent="0.2">
      <c r="A479">
        <v>476</v>
      </c>
      <c r="B479" s="19">
        <f>Finanzierung!$B$5</f>
        <v>3200.0000000000005</v>
      </c>
      <c r="C479" s="19">
        <f t="shared" si="56"/>
        <v>-220752.87188435689</v>
      </c>
      <c r="D479" s="19">
        <f>C479*Finanzierung!$B$3/100/12</f>
        <v>-588.67432502495171</v>
      </c>
      <c r="E479" s="19">
        <f t="shared" si="63"/>
        <v>3788.6743250249519</v>
      </c>
      <c r="J479">
        <v>476</v>
      </c>
      <c r="K479" s="19">
        <f t="shared" si="60"/>
        <v>2240</v>
      </c>
      <c r="L479" s="19">
        <f t="shared" si="61"/>
        <v>697901.09264744422</v>
      </c>
      <c r="M479" s="19">
        <f>L479*Finanzierung!$B$3/100/12</f>
        <v>1861.0695803931849</v>
      </c>
      <c r="N479" s="19">
        <f t="shared" si="62"/>
        <v>378.93041960681512</v>
      </c>
      <c r="O479">
        <f>O478*(1+Finanzierung!$B$6/100/12)+$H$3</f>
        <v>1870275.226713019</v>
      </c>
      <c r="S479" s="22">
        <f t="shared" si="57"/>
        <v>39.666666666666664</v>
      </c>
      <c r="T479" s="19">
        <f t="shared" si="58"/>
        <v>220752.87188435689</v>
      </c>
      <c r="U479" s="19">
        <f t="shared" si="59"/>
        <v>1172374.1340655747</v>
      </c>
    </row>
    <row r="480" spans="1:21" x14ac:dyDescent="0.2">
      <c r="A480">
        <v>477</v>
      </c>
      <c r="B480" s="19">
        <f>Finanzierung!$B$5</f>
        <v>3200.0000000000005</v>
      </c>
      <c r="C480" s="19">
        <f t="shared" si="56"/>
        <v>-224541.54620938184</v>
      </c>
      <c r="D480" s="19">
        <f>C480*Finanzierung!$B$3/100/12</f>
        <v>-598.77745655835167</v>
      </c>
      <c r="E480" s="19">
        <f t="shared" si="63"/>
        <v>3798.7774565583522</v>
      </c>
      <c r="J480">
        <v>477</v>
      </c>
      <c r="K480" s="19">
        <f t="shared" si="60"/>
        <v>2240</v>
      </c>
      <c r="L480" s="19">
        <f t="shared" si="61"/>
        <v>697522.16222783737</v>
      </c>
      <c r="M480" s="19">
        <f>L480*Finanzierung!$B$3/100/12</f>
        <v>1860.0590992742329</v>
      </c>
      <c r="N480" s="19">
        <f t="shared" si="62"/>
        <v>379.94090072576705</v>
      </c>
      <c r="O480">
        <f>O479*(1+Finanzierung!$B$6/100/12)+$H$3</f>
        <v>1880586.6028465838</v>
      </c>
      <c r="S480" s="22">
        <f t="shared" si="57"/>
        <v>39.75</v>
      </c>
      <c r="T480" s="19">
        <f t="shared" si="58"/>
        <v>224541.54620938184</v>
      </c>
      <c r="U480" s="19">
        <f t="shared" si="59"/>
        <v>1183064.4406187464</v>
      </c>
    </row>
    <row r="481" spans="1:21" x14ac:dyDescent="0.2">
      <c r="A481">
        <v>478</v>
      </c>
      <c r="B481" s="19">
        <f>Finanzierung!$B$5</f>
        <v>3200.0000000000005</v>
      </c>
      <c r="C481" s="19">
        <f t="shared" ref="C481:C483" si="64">C480-E480</f>
        <v>-228340.32366594017</v>
      </c>
      <c r="D481" s="19">
        <f>C481*Finanzierung!$B$3/100/12</f>
        <v>-608.90752977584054</v>
      </c>
      <c r="E481" s="19">
        <f t="shared" si="63"/>
        <v>3808.9075297758409</v>
      </c>
      <c r="J481">
        <v>478</v>
      </c>
      <c r="K481" s="19">
        <f t="shared" si="60"/>
        <v>2240</v>
      </c>
      <c r="L481" s="19">
        <f t="shared" si="61"/>
        <v>697142.22132711159</v>
      </c>
      <c r="M481" s="19">
        <f>L481*Finanzierung!$B$3/100/12</f>
        <v>1859.0459235389644</v>
      </c>
      <c r="N481" s="19">
        <f t="shared" si="62"/>
        <v>380.95407646103558</v>
      </c>
      <c r="O481">
        <f>O480*(1+Finanzierung!$B$6/100/12)+$H$3</f>
        <v>1890949.5358608165</v>
      </c>
      <c r="S481" s="22">
        <f t="shared" si="57"/>
        <v>39.833333333333336</v>
      </c>
      <c r="T481" s="19">
        <f t="shared" si="58"/>
        <v>228340.32366594017</v>
      </c>
      <c r="U481" s="19">
        <f t="shared" si="59"/>
        <v>1193807.3145337049</v>
      </c>
    </row>
    <row r="482" spans="1:21" x14ac:dyDescent="0.2">
      <c r="A482">
        <v>479</v>
      </c>
      <c r="B482" s="19">
        <f>Finanzierung!$B$5</f>
        <v>3200.0000000000005</v>
      </c>
      <c r="C482" s="19">
        <f t="shared" si="64"/>
        <v>-232149.23119571601</v>
      </c>
      <c r="D482" s="19">
        <f>C482*Finanzierung!$B$3/100/12</f>
        <v>-619.06461652190944</v>
      </c>
      <c r="E482" s="19">
        <f t="shared" si="63"/>
        <v>3819.06461652191</v>
      </c>
      <c r="J482">
        <v>479</v>
      </c>
      <c r="K482" s="19">
        <f t="shared" si="60"/>
        <v>2240</v>
      </c>
      <c r="L482" s="19">
        <f t="shared" si="61"/>
        <v>696761.26725065056</v>
      </c>
      <c r="M482" s="19">
        <f>L482*Finanzierung!$B$3/100/12</f>
        <v>1858.0300460017349</v>
      </c>
      <c r="N482" s="19">
        <f t="shared" si="62"/>
        <v>381.96995399826505</v>
      </c>
      <c r="O482">
        <f>O481*(1+Finanzierung!$B$6/100/12)+$H$3</f>
        <v>1901364.2835401203</v>
      </c>
      <c r="S482" s="22">
        <f t="shared" si="57"/>
        <v>39.916666666666664</v>
      </c>
      <c r="T482" s="19">
        <f t="shared" si="58"/>
        <v>232149.23119571601</v>
      </c>
      <c r="U482" s="19">
        <f t="shared" si="59"/>
        <v>1204603.0162894698</v>
      </c>
    </row>
    <row r="483" spans="1:21" x14ac:dyDescent="0.2">
      <c r="A483">
        <v>480</v>
      </c>
      <c r="B483" s="19">
        <f>Finanzierung!$B$5</f>
        <v>3200.0000000000005</v>
      </c>
      <c r="C483" s="19">
        <f t="shared" si="64"/>
        <v>-235968.29581223792</v>
      </c>
      <c r="D483" s="19">
        <f>C483*Finanzierung!$B$3/100/12</f>
        <v>-629.24878883263443</v>
      </c>
      <c r="E483" s="19">
        <f t="shared" si="63"/>
        <v>3829.248788832635</v>
      </c>
      <c r="J483">
        <v>480</v>
      </c>
      <c r="K483" s="19">
        <f t="shared" si="60"/>
        <v>2240</v>
      </c>
      <c r="L483" s="19">
        <f t="shared" si="61"/>
        <v>696379.29729665234</v>
      </c>
      <c r="M483" s="19">
        <f>L483*Finanzierung!$B$3/100/12</f>
        <v>1857.0114594577396</v>
      </c>
      <c r="N483" s="19">
        <f t="shared" si="62"/>
        <v>382.98854054226035</v>
      </c>
      <c r="O483">
        <f>O482*(1+Finanzierung!$B$6/100/12)+$H$3</f>
        <v>1911831.1049578208</v>
      </c>
      <c r="S483" s="22">
        <f t="shared" si="57"/>
        <v>40</v>
      </c>
      <c r="T483" s="19">
        <f t="shared" si="58"/>
        <v>235968.29581223792</v>
      </c>
      <c r="U483" s="19">
        <f t="shared" si="59"/>
        <v>1215451.8076611685</v>
      </c>
    </row>
  </sheetData>
  <conditionalFormatting sqref="C3:C483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L3:L48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Kosten_Beispiel</vt:lpstr>
      <vt:lpstr>Kosten_Meine_Daten</vt:lpstr>
      <vt:lpstr>Finanzierung</vt:lpstr>
      <vt:lpstr>Zinseszinz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Stottmeister</dc:creator>
  <cp:lastModifiedBy>Martin Stottmeister</cp:lastModifiedBy>
  <dcterms:created xsi:type="dcterms:W3CDTF">2025-09-25T16:47:20Z</dcterms:created>
  <dcterms:modified xsi:type="dcterms:W3CDTF">2026-05-10T12:27:18Z</dcterms:modified>
</cp:coreProperties>
</file>